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0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e722214be826714/uni/"/>
    </mc:Choice>
  </mc:AlternateContent>
  <xr:revisionPtr revIDLastSave="2" documentId="8_{A1879AF8-DB2F-4E9B-B8D7-153594C556A1}" xr6:coauthVersionLast="47" xr6:coauthVersionMax="47" xr10:uidLastSave="{A06B6195-4135-4B72-9D84-A4D1160D0CBE}"/>
  <bookViews>
    <workbookView xWindow="-108" yWindow="-108" windowWidth="23256" windowHeight="12456" xr2:uid="{45DBCD5D-FFAB-4D5A-BD26-16FCF05C8659}"/>
  </bookViews>
  <sheets>
    <sheet name="templating" sheetId="1" r:id="rId1"/>
    <sheet name="calculator" sheetId="2" r:id="rId2"/>
    <sheet name="file separation" sheetId="3" r:id="rId3"/>
    <sheet name="reverse dict lookup" sheetId="5" r:id="rId4"/>
    <sheet name="concat" sheetId="6" r:id="rId5"/>
    <sheet name="fixpoint" sheetId="7" r:id="rId6"/>
    <sheet name="dependencies" sheetId="9" r:id="rId7"/>
  </sheets>
  <functionGroups builtInGroupCount="19"/>
  <definedNames>
    <definedName name="_xlpm.a" hidden="1" xlm="1">#NAME?</definedName>
    <definedName name="_xlpm.acc" hidden="1" xlm="1">#NAME?</definedName>
    <definedName name="_xlpm.Ar" hidden="1" xlm="1">#NAME?</definedName>
    <definedName name="_xlpm.Arr" hidden="1" xlm="1">#NAME?</definedName>
    <definedName name="_xlpm.b" hidden="1" xlm="1">#NAME?</definedName>
    <definedName name="_xlpm.Br" hidden="1" xlm="1">#NAME?</definedName>
    <definedName name="_xlpm.Brr" hidden="1" xlm="1">#NAME?</definedName>
    <definedName name="_xlpm.f" hidden="1" xlm="1">#NAME?</definedName>
    <definedName name="_xlpm.g" hidden="1" xlm="1">#NAME?</definedName>
    <definedName name="_xlpm.haystack" hidden="1" xlm="1">#NAME?</definedName>
    <definedName name="_xlpm.i" hidden="1" xlm="1">#NAME?</definedName>
    <definedName name="_xlpm.init" hidden="1" xlm="1">#NAME?</definedName>
    <definedName name="_xlpm.intercalate" hidden="1" xlm="1">#NAME?</definedName>
    <definedName name="_xlpm.lambmda" hidden="1" xlm="1">#NAME?</definedName>
    <definedName name="_xlpm.last" hidden="1" xlm="1">#NAME?</definedName>
    <definedName name="_xlpm.lastCleaned" hidden="1" xlm="1">#NAME?</definedName>
    <definedName name="_xlpm.list" hidden="1" xlm="1">#NAME?</definedName>
    <definedName name="_xlpm.myFact" hidden="1" xlm="1">#NAME?</definedName>
    <definedName name="_xlpm.needle" hidden="1" xlm="1">#NAME?</definedName>
    <definedName name="_xlpm.op" hidden="1" xlm="1">#NAME?</definedName>
    <definedName name="_xlpm.r" hidden="1" xlm="1">#NAME?</definedName>
    <definedName name="_xlpm.Range1" hidden="1" xlm="1">#NAME?</definedName>
    <definedName name="_xlpm.Range2" hidden="1" xlm="1">#NAME?</definedName>
    <definedName name="_xlpm.re" hidden="1" xlm="1">#NAME?</definedName>
    <definedName name="_xlpm.rec" hidden="1" xlm="1">#NAME?</definedName>
    <definedName name="_xlpm.recu" hidden="1" xlm="1">#NAME?</definedName>
    <definedName name="_xlpm.recur" hidden="1" xlm="1">#NAME?</definedName>
    <definedName name="_xlpm.recurs" hidden="1" xlm="1">#NAME?</definedName>
    <definedName name="_xlpm.recurse" hidden="1" xlm="1">#NAME?</definedName>
    <definedName name="_xlpm.replacement" hidden="1" xlm="1">#NAME?</definedName>
    <definedName name="_xlpm.s" hidden="1" xlm="1">#NAME?</definedName>
    <definedName name="_xlpm.size" hidden="1" xlm="1">#NAME?</definedName>
    <definedName name="_xlpm.so" hidden="1" xlm="1">#NAME?</definedName>
    <definedName name="_xlpm.son" hidden="1" xlm="1">#NAME?</definedName>
    <definedName name="_xlpm.song" hidden="1" xlm="1">#NAME?</definedName>
    <definedName name="_xlpm.splitted" hidden="1" xlm="1">#NAME?</definedName>
    <definedName name="_xlpm.start" hidden="1" xlm="1">#NAME?</definedName>
    <definedName name="_xlpm.tag" hidden="1" xlm="1">#NAME?</definedName>
    <definedName name="_xlpm.txt" hidden="1" xlm="1">#NAME?</definedName>
    <definedName name="_xlpm.txtHead" hidden="1" xlm="1">#NAME?</definedName>
    <definedName name="_xlpm.v" hidden="1" xlm="1">#NAME?</definedName>
    <definedName name="_xlpm.val" hidden="1" xlm="1">#NAME?</definedName>
    <definedName name="_xlpm.x" hidden="1" xlm="1">#NAME?</definedName>
    <definedName name="_xlpm.xx" hidden="1" xlm="1">#NAME?</definedName>
    <definedName name="_xlpm.Y" hidden="1" xlm="1">#NAME?</definedName>
    <definedName name="_xlpm.Z" hidden="1" xlm="1">#NAME?</definedName>
    <definedName name="CONCAT_RANGES">_xlfn.LAMBDA(_xlpm.Range1,_xlpm.Range2,_xlfn.LET(   _xlpm.Arr,_xlpm.Range1,   _xlpm.Brr,_xlpm.Range2,   _xlpm.size,COUNTA(_xlpm.Arr)+COUNTA(_xlpm.Brr), _xlfn.MAKEARRAY(_xlpm.size,1,_xlfn.LAMBDA(_xlpm.a,_xlpm.b,   IF(MOD(_xlpm.a,2)=1,     INDEX(_xlpm.Arr,ROUNDUP(_xlpm.a/2,0)),     INDEX(_xlpm.Brr,ROUNDUP(_xlpm.a/2,0))    )   ) )))</definedName>
    <definedName name="ExternalData_1" localSheetId="6" hidden="1">dependencies!$A$1:$A$299</definedName>
    <definedName name="SongTable">Table2[]</definedName>
    <definedName name="TEXT_REPLACE">_xlfn.LAMBDA(_xlpm.needle,_xlpm.replacement,_xlpm.haystack, REPLACE(_xlpm.haystack,SEARCH(_xlpm.needle,_xlpm.haystack),LEN(_xlpm.needle), _xlpm.replacement))</definedName>
    <definedName name="Y_COMB">_xlfn.LAMBDA(_xlpm.f,             _xlfn.LET(               _xlpm.g, _xlfn.LAMBDA(_xlpm.x,                    _xlpm.f(_xlfn.LAMBDA(_xlpm.v, _xlfn.LET(_xlpm.xx,_xlpm.x(_xlpm.x),_xlpm.xx(_xlpm.v))))),               _xlpm.g(_xlpm.g)             )          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9" l="1" a="1"/>
  <c r="B2" i="9" s="1"/>
  <c r="C2" i="9" s="1"/>
  <c r="B3" i="9" a="1"/>
  <c r="B3" i="9" s="1"/>
  <c r="C3" i="9" s="1"/>
  <c r="B4" i="9" a="1"/>
  <c r="B4" i="9" s="1"/>
  <c r="C4" i="9" s="1"/>
  <c r="B5" i="9" a="1"/>
  <c r="B5" i="9" s="1"/>
  <c r="C5" i="9" s="1"/>
  <c r="B6" i="9" a="1"/>
  <c r="B6" i="9" s="1"/>
  <c r="C6" i="9" s="1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20" i="9" a="1"/>
  <c r="B20" i="9" s="1"/>
  <c r="C20" i="9" s="1"/>
  <c r="B21" i="9" a="1"/>
  <c r="B21" i="9" s="1"/>
  <c r="C21" i="9" s="1"/>
  <c r="B22" i="9" a="1"/>
  <c r="B22" i="9" s="1"/>
  <c r="C22" i="9" s="1"/>
  <c r="B23" i="9" a="1"/>
  <c r="B23" i="9" s="1"/>
  <c r="C23" i="9" s="1"/>
  <c r="B24" i="9" a="1"/>
  <c r="B24" i="9" s="1"/>
  <c r="C24" i="9" s="1"/>
  <c r="B25" i="9" a="1"/>
  <c r="B25" i="9" s="1"/>
  <c r="C25" i="9" s="1"/>
  <c r="B26" i="9" a="1"/>
  <c r="B26" i="9" s="1"/>
  <c r="C26" i="9" s="1"/>
  <c r="B27" i="9" a="1"/>
  <c r="B27" i="9" s="1"/>
  <c r="C27" i="9" s="1"/>
  <c r="B28" i="9" a="1"/>
  <c r="B28" i="9" s="1"/>
  <c r="C28" i="9" s="1"/>
  <c r="B29" i="9" a="1"/>
  <c r="B29" i="9" s="1"/>
  <c r="C29" i="9" s="1"/>
  <c r="B30" i="9" a="1"/>
  <c r="B30" i="9" s="1"/>
  <c r="C30" i="9" s="1"/>
  <c r="B31" i="9" a="1"/>
  <c r="B31" i="9" s="1"/>
  <c r="C31" i="9" s="1"/>
  <c r="B32" i="9" a="1"/>
  <c r="B32" i="9" s="1"/>
  <c r="C32" i="9" s="1"/>
  <c r="B33" i="9" a="1"/>
  <c r="B33" i="9" s="1"/>
  <c r="C33" i="9" s="1"/>
  <c r="B34" i="9" a="1"/>
  <c r="B34" i="9" s="1"/>
  <c r="C34" i="9" s="1"/>
  <c r="B35" i="9" a="1"/>
  <c r="B35" i="9" s="1"/>
  <c r="C35" i="9" s="1"/>
  <c r="B36" i="9" a="1"/>
  <c r="B36" i="9" s="1"/>
  <c r="C36" i="9" s="1"/>
  <c r="B37" i="9" a="1"/>
  <c r="B37" i="9" s="1"/>
  <c r="C37" i="9" s="1"/>
  <c r="B38" i="9" a="1"/>
  <c r="B38" i="9" s="1"/>
  <c r="C38" i="9" s="1"/>
  <c r="B39" i="9" a="1"/>
  <c r="B39" i="9" s="1"/>
  <c r="C39" i="9" s="1"/>
  <c r="B40" i="9" a="1"/>
  <c r="B40" i="9" s="1"/>
  <c r="C40" i="9" s="1"/>
  <c r="B41" i="9" a="1"/>
  <c r="B41" i="9" s="1"/>
  <c r="C41" i="9" s="1"/>
  <c r="B42" i="9" a="1"/>
  <c r="B42" i="9" s="1"/>
  <c r="C42" i="9" s="1"/>
  <c r="B43" i="9" a="1"/>
  <c r="B43" i="9" s="1"/>
  <c r="C43" i="9" s="1"/>
  <c r="B44" i="9" a="1"/>
  <c r="B44" i="9" s="1"/>
  <c r="C44" i="9" s="1"/>
  <c r="B45" i="9" a="1"/>
  <c r="B45" i="9" s="1"/>
  <c r="C45" i="9" s="1"/>
  <c r="B46" i="9" a="1"/>
  <c r="B46" i="9" s="1"/>
  <c r="C46" i="9" s="1"/>
  <c r="B47" i="9" a="1"/>
  <c r="B47" i="9" s="1"/>
  <c r="C47" i="9" s="1"/>
  <c r="B48" i="9" a="1"/>
  <c r="B48" i="9" s="1"/>
  <c r="C48" i="9" s="1"/>
  <c r="B49" i="9" a="1"/>
  <c r="B49" i="9" s="1"/>
  <c r="C49" i="9" s="1"/>
  <c r="B50" i="9" a="1"/>
  <c r="B50" i="9" s="1"/>
  <c r="C50" i="9" s="1"/>
  <c r="B51" i="9" a="1"/>
  <c r="B51" i="9" s="1"/>
  <c r="C51" i="9" s="1"/>
  <c r="B52" i="9" a="1"/>
  <c r="B52" i="9" s="1"/>
  <c r="C52" i="9" s="1"/>
  <c r="B53" i="9" a="1"/>
  <c r="B53" i="9" s="1"/>
  <c r="C53" i="9" s="1"/>
  <c r="B54" i="9" a="1"/>
  <c r="B54" i="9" s="1"/>
  <c r="C54" i="9" s="1"/>
  <c r="B55" i="9" a="1"/>
  <c r="B55" i="9" s="1"/>
  <c r="C55" i="9" s="1"/>
  <c r="B56" i="9" a="1"/>
  <c r="B56" i="9" s="1"/>
  <c r="C56" i="9" s="1"/>
  <c r="B57" i="9" a="1"/>
  <c r="B57" i="9"/>
  <c r="C57" i="9" s="1"/>
  <c r="B58" i="9" a="1"/>
  <c r="B58" i="9" s="1"/>
  <c r="C58" i="9" s="1"/>
  <c r="B59" i="9" a="1"/>
  <c r="B59" i="9" s="1"/>
  <c r="C59" i="9" s="1"/>
  <c r="B60" i="9" a="1"/>
  <c r="B60" i="9" s="1"/>
  <c r="C60" i="9" s="1"/>
  <c r="B61" i="9" a="1"/>
  <c r="B61" i="9" s="1"/>
  <c r="C61" i="9" s="1"/>
  <c r="B62" i="9" a="1"/>
  <c r="B62" i="9" s="1"/>
  <c r="C62" i="9" s="1"/>
  <c r="B63" i="9" a="1"/>
  <c r="B63" i="9" s="1"/>
  <c r="C63" i="9" s="1"/>
  <c r="B64" i="9" a="1"/>
  <c r="B64" i="9" s="1"/>
  <c r="C64" i="9" s="1"/>
  <c r="B65" i="9" a="1"/>
  <c r="B65" i="9" s="1"/>
  <c r="C65" i="9" s="1"/>
  <c r="B66" i="9" a="1"/>
  <c r="B66" i="9" s="1"/>
  <c r="C66" i="9" s="1"/>
  <c r="B67" i="9" a="1"/>
  <c r="B67" i="9" s="1"/>
  <c r="C67" i="9" s="1"/>
  <c r="B68" i="9" a="1"/>
  <c r="B68" i="9" s="1"/>
  <c r="C68" i="9" s="1"/>
  <c r="B69" i="9" a="1"/>
  <c r="B69" i="9" s="1"/>
  <c r="C69" i="9" s="1"/>
  <c r="B70" i="9" a="1"/>
  <c r="B70" i="9" s="1"/>
  <c r="C70" i="9" s="1"/>
  <c r="B71" i="9" a="1"/>
  <c r="B71" i="9" s="1"/>
  <c r="C71" i="9" s="1"/>
  <c r="B72" i="9" a="1"/>
  <c r="B72" i="9" s="1"/>
  <c r="C72" i="9" s="1"/>
  <c r="B73" i="9" a="1"/>
  <c r="B73" i="9"/>
  <c r="C73" i="9" s="1"/>
  <c r="B74" i="9" a="1"/>
  <c r="B74" i="9" s="1"/>
  <c r="C74" i="9" s="1"/>
  <c r="B75" i="9" a="1"/>
  <c r="B75" i="9" s="1"/>
  <c r="C75" i="9" s="1"/>
  <c r="B76" i="9" a="1"/>
  <c r="B76" i="9" s="1"/>
  <c r="C76" i="9" s="1"/>
  <c r="B77" i="9" a="1"/>
  <c r="B77" i="9" s="1"/>
  <c r="C77" i="9" s="1"/>
  <c r="B78" i="9" a="1"/>
  <c r="B78" i="9" s="1"/>
  <c r="C78" i="9" s="1"/>
  <c r="B79" i="9" a="1"/>
  <c r="B79" i="9" s="1"/>
  <c r="C79" i="9" s="1"/>
  <c r="B80" i="9" a="1"/>
  <c r="B80" i="9" s="1"/>
  <c r="C80" i="9" s="1"/>
  <c r="B81" i="9" a="1"/>
  <c r="B81" i="9" s="1"/>
  <c r="C81" i="9" s="1"/>
  <c r="B82" i="9" a="1"/>
  <c r="B82" i="9" s="1"/>
  <c r="C82" i="9" s="1"/>
  <c r="B83" i="9" a="1"/>
  <c r="B83" i="9" s="1"/>
  <c r="C83" i="9" s="1"/>
  <c r="B84" i="9" a="1"/>
  <c r="B84" i="9" s="1"/>
  <c r="C84" i="9" s="1"/>
  <c r="B85" i="9" a="1"/>
  <c r="B85" i="9" s="1"/>
  <c r="C85" i="9" s="1"/>
  <c r="B86" i="9" a="1"/>
  <c r="B86" i="9" s="1"/>
  <c r="C86" i="9" s="1"/>
  <c r="B87" i="9" a="1"/>
  <c r="B87" i="9" s="1"/>
  <c r="C87" i="9" s="1"/>
  <c r="B88" i="9" a="1"/>
  <c r="B88" i="9" s="1"/>
  <c r="C88" i="9" s="1"/>
  <c r="B89" i="9" a="1"/>
  <c r="B89" i="9" s="1"/>
  <c r="C89" i="9" s="1"/>
  <c r="B90" i="9" a="1"/>
  <c r="B90" i="9" s="1"/>
  <c r="C90" i="9" s="1"/>
  <c r="B91" i="9" a="1"/>
  <c r="B91" i="9" s="1"/>
  <c r="C91" i="9" s="1"/>
  <c r="B92" i="9" a="1"/>
  <c r="B92" i="9" s="1"/>
  <c r="C92" i="9" s="1"/>
  <c r="B93" i="9" a="1"/>
  <c r="B93" i="9" s="1"/>
  <c r="C93" i="9" s="1"/>
  <c r="B94" i="9" a="1"/>
  <c r="B94" i="9" s="1"/>
  <c r="C94" i="9" s="1"/>
  <c r="B95" i="9" a="1"/>
  <c r="B95" i="9" s="1"/>
  <c r="C95" i="9" s="1"/>
  <c r="B96" i="9" a="1"/>
  <c r="B96" i="9" s="1"/>
  <c r="C96" i="9" s="1"/>
  <c r="B97" i="9" a="1"/>
  <c r="B97" i="9"/>
  <c r="C97" i="9" s="1"/>
  <c r="B98" i="9" a="1"/>
  <c r="B98" i="9" s="1"/>
  <c r="C98" i="9" s="1"/>
  <c r="B99" i="9" a="1"/>
  <c r="B99" i="9" s="1"/>
  <c r="C99" i="9" s="1"/>
  <c r="B100" i="9" a="1"/>
  <c r="B100" i="9" s="1"/>
  <c r="C100" i="9" s="1"/>
  <c r="B101" i="9" a="1"/>
  <c r="B101" i="9" s="1"/>
  <c r="C101" i="9" s="1"/>
  <c r="B102" i="9" a="1"/>
  <c r="B102" i="9" s="1"/>
  <c r="C102" i="9" s="1"/>
  <c r="B103" i="9" a="1"/>
  <c r="B103" i="9" s="1"/>
  <c r="C103" i="9" s="1"/>
  <c r="B104" i="9" a="1"/>
  <c r="B104" i="9" s="1"/>
  <c r="C104" i="9" s="1"/>
  <c r="B105" i="9" a="1"/>
  <c r="B105" i="9" s="1"/>
  <c r="C105" i="9" s="1"/>
  <c r="B106" i="9" a="1"/>
  <c r="B106" i="9" s="1"/>
  <c r="C106" i="9" s="1"/>
  <c r="B107" i="9" a="1"/>
  <c r="B107" i="9" s="1"/>
  <c r="C107" i="9" s="1"/>
  <c r="B108" i="9" a="1"/>
  <c r="B108" i="9" s="1"/>
  <c r="C108" i="9" s="1"/>
  <c r="B109" i="9" a="1"/>
  <c r="B109" i="9" s="1"/>
  <c r="C109" i="9" s="1"/>
  <c r="B110" i="9" a="1"/>
  <c r="B110" i="9" s="1"/>
  <c r="C110" i="9" s="1"/>
  <c r="B111" i="9" a="1"/>
  <c r="B111" i="9" s="1"/>
  <c r="C111" i="9" s="1"/>
  <c r="B112" i="9" a="1"/>
  <c r="B112" i="9" s="1"/>
  <c r="C112" i="9" s="1"/>
  <c r="B113" i="9" a="1"/>
  <c r="B113" i="9" s="1"/>
  <c r="C113" i="9" s="1"/>
  <c r="B114" i="9" a="1"/>
  <c r="B114" i="9" s="1"/>
  <c r="C114" i="9" s="1"/>
  <c r="B115" i="9" a="1"/>
  <c r="B115" i="9" s="1"/>
  <c r="C115" i="9" s="1"/>
  <c r="B116" i="9" a="1"/>
  <c r="B116" i="9" s="1"/>
  <c r="C116" i="9" s="1"/>
  <c r="B117" i="9" a="1"/>
  <c r="B117" i="9" s="1"/>
  <c r="C117" i="9" s="1"/>
  <c r="B118" i="9" a="1"/>
  <c r="B118" i="9" s="1"/>
  <c r="C118" i="9" s="1"/>
  <c r="B119" i="9" a="1"/>
  <c r="B119" i="9" s="1"/>
  <c r="C119" i="9" s="1"/>
  <c r="B120" i="9" a="1"/>
  <c r="B120" i="9" s="1"/>
  <c r="C120" i="9" s="1"/>
  <c r="B121" i="9" a="1"/>
  <c r="B121" i="9"/>
  <c r="C121" i="9" s="1"/>
  <c r="B122" i="9" a="1"/>
  <c r="B122" i="9" s="1"/>
  <c r="C122" i="9" s="1"/>
  <c r="B123" i="9" a="1"/>
  <c r="B123" i="9" s="1"/>
  <c r="C123" i="9" s="1"/>
  <c r="B124" i="9" a="1"/>
  <c r="B124" i="9" s="1"/>
  <c r="C124" i="9" s="1"/>
  <c r="B125" i="9" a="1"/>
  <c r="B125" i="9" s="1"/>
  <c r="C125" i="9" s="1"/>
  <c r="B126" i="9" a="1"/>
  <c r="B126" i="9" s="1"/>
  <c r="C126" i="9" s="1"/>
  <c r="B127" i="9" a="1"/>
  <c r="B127" i="9" s="1"/>
  <c r="C127" i="9" s="1"/>
  <c r="B128" i="9" a="1"/>
  <c r="B128" i="9" s="1"/>
  <c r="C128" i="9" s="1"/>
  <c r="B129" i="9" a="1"/>
  <c r="B129" i="9" s="1"/>
  <c r="C129" i="9" s="1"/>
  <c r="B130" i="9" a="1"/>
  <c r="B130" i="9" s="1"/>
  <c r="C130" i="9" s="1"/>
  <c r="B131" i="9" a="1"/>
  <c r="B131" i="9" s="1"/>
  <c r="C131" i="9" s="1"/>
  <c r="B132" i="9" a="1"/>
  <c r="B132" i="9" s="1"/>
  <c r="C132" i="9" s="1"/>
  <c r="B133" i="9" a="1"/>
  <c r="B133" i="9" s="1"/>
  <c r="C133" i="9" s="1"/>
  <c r="B134" i="9" a="1"/>
  <c r="B134" i="9" s="1"/>
  <c r="C134" i="9" s="1"/>
  <c r="B135" i="9" a="1"/>
  <c r="B135" i="9" s="1"/>
  <c r="C135" i="9" s="1"/>
  <c r="B136" i="9" a="1"/>
  <c r="B136" i="9" s="1"/>
  <c r="C136" i="9" s="1"/>
  <c r="B137" i="9" a="1"/>
  <c r="B137" i="9"/>
  <c r="C137" i="9" s="1"/>
  <c r="B138" i="9" a="1"/>
  <c r="B138" i="9" s="1"/>
  <c r="C138" i="9" s="1"/>
  <c r="B139" i="9" a="1"/>
  <c r="B139" i="9" s="1"/>
  <c r="C139" i="9" s="1"/>
  <c r="B140" i="9" a="1"/>
  <c r="B140" i="9" s="1"/>
  <c r="C140" i="9" s="1"/>
  <c r="B141" i="9" a="1"/>
  <c r="B141" i="9" s="1"/>
  <c r="C141" i="9" s="1"/>
  <c r="B142" i="9" a="1"/>
  <c r="B142" i="9" s="1"/>
  <c r="C142" i="9" s="1"/>
  <c r="B143" i="9" a="1"/>
  <c r="B143" i="9" s="1"/>
  <c r="C143" i="9" s="1"/>
  <c r="B144" i="9" a="1"/>
  <c r="B144" i="9" s="1"/>
  <c r="C144" i="9" s="1"/>
  <c r="B145" i="9" a="1"/>
  <c r="B145" i="9" s="1"/>
  <c r="C145" i="9" s="1"/>
  <c r="B146" i="9" a="1"/>
  <c r="B146" i="9" s="1"/>
  <c r="C146" i="9" s="1"/>
  <c r="B147" i="9" a="1"/>
  <c r="B147" i="9" s="1"/>
  <c r="C147" i="9" s="1"/>
  <c r="B148" i="9" a="1"/>
  <c r="B148" i="9" s="1"/>
  <c r="C148" i="9" s="1"/>
  <c r="B149" i="9" a="1"/>
  <c r="B149" i="9" s="1"/>
  <c r="C149" i="9" s="1"/>
  <c r="B150" i="9" a="1"/>
  <c r="B150" i="9" s="1"/>
  <c r="C150" i="9" s="1"/>
  <c r="B151" i="9" a="1"/>
  <c r="B151" i="9" s="1"/>
  <c r="C151" i="9" s="1"/>
  <c r="B152" i="9" a="1"/>
  <c r="B152" i="9" s="1"/>
  <c r="C152" i="9" s="1"/>
  <c r="B153" i="9" a="1"/>
  <c r="B153" i="9" s="1"/>
  <c r="C153" i="9" s="1"/>
  <c r="B154" i="9" a="1"/>
  <c r="B154" i="9" s="1"/>
  <c r="C154" i="9" s="1"/>
  <c r="B155" i="9" a="1"/>
  <c r="B155" i="9" s="1"/>
  <c r="C155" i="9" s="1"/>
  <c r="B156" i="9" a="1"/>
  <c r="B156" i="9" s="1"/>
  <c r="C156" i="9" s="1"/>
  <c r="B157" i="9" a="1"/>
  <c r="B157" i="9" s="1"/>
  <c r="C157" i="9" s="1"/>
  <c r="B158" i="9" a="1"/>
  <c r="B158" i="9" s="1"/>
  <c r="C158" i="9" s="1"/>
  <c r="B159" i="9" a="1"/>
  <c r="B159" i="9" s="1"/>
  <c r="C159" i="9" s="1"/>
  <c r="B160" i="9" a="1"/>
  <c r="B160" i="9" s="1"/>
  <c r="C160" i="9" s="1"/>
  <c r="B161" i="9" a="1"/>
  <c r="B161" i="9" s="1"/>
  <c r="C161" i="9" s="1"/>
  <c r="B162" i="9" a="1"/>
  <c r="B162" i="9" s="1"/>
  <c r="C162" i="9" s="1"/>
  <c r="B163" i="9" a="1"/>
  <c r="B163" i="9" s="1"/>
  <c r="C163" i="9" s="1"/>
  <c r="B164" i="9" a="1"/>
  <c r="B164" i="9" s="1"/>
  <c r="C164" i="9" s="1"/>
  <c r="B165" i="9" a="1"/>
  <c r="B165" i="9" s="1"/>
  <c r="C165" i="9" s="1"/>
  <c r="B166" i="9" a="1"/>
  <c r="B166" i="9" s="1"/>
  <c r="C166" i="9" s="1"/>
  <c r="B167" i="9" a="1"/>
  <c r="B167" i="9" s="1"/>
  <c r="C167" i="9" s="1"/>
  <c r="B168" i="9" a="1"/>
  <c r="B168" i="9" s="1"/>
  <c r="C168" i="9" s="1"/>
  <c r="B169" i="9" a="1"/>
  <c r="B169" i="9" s="1"/>
  <c r="C169" i="9" s="1"/>
  <c r="B170" i="9" a="1"/>
  <c r="B170" i="9" s="1"/>
  <c r="C170" i="9" s="1"/>
  <c r="B171" i="9" a="1"/>
  <c r="B171" i="9" s="1"/>
  <c r="C171" i="9" s="1"/>
  <c r="B172" i="9" a="1"/>
  <c r="B172" i="9" s="1"/>
  <c r="C172" i="9" s="1"/>
  <c r="B173" i="9" a="1"/>
  <c r="B173" i="9" s="1"/>
  <c r="C173" i="9" s="1"/>
  <c r="B174" i="9" a="1"/>
  <c r="B174" i="9" s="1"/>
  <c r="C174" i="9" s="1"/>
  <c r="B175" i="9" a="1"/>
  <c r="B175" i="9" s="1"/>
  <c r="C175" i="9" s="1"/>
  <c r="B176" i="9" a="1"/>
  <c r="B176" i="9" s="1"/>
  <c r="C176" i="9" s="1"/>
  <c r="B177" i="9" a="1"/>
  <c r="B177" i="9" s="1"/>
  <c r="C177" i="9" s="1"/>
  <c r="B178" i="9" a="1"/>
  <c r="B178" i="9" s="1"/>
  <c r="C178" i="9" s="1"/>
  <c r="B179" i="9" a="1"/>
  <c r="B179" i="9" s="1"/>
  <c r="C179" i="9" s="1"/>
  <c r="B180" i="9" a="1"/>
  <c r="B180" i="9" s="1"/>
  <c r="C180" i="9" s="1"/>
  <c r="B181" i="9" a="1"/>
  <c r="B181" i="9" s="1"/>
  <c r="C181" i="9" s="1"/>
  <c r="B182" i="9" a="1"/>
  <c r="B182" i="9" s="1"/>
  <c r="C182" i="9" s="1"/>
  <c r="B183" i="9" a="1"/>
  <c r="B183" i="9" s="1"/>
  <c r="C183" i="9" s="1"/>
  <c r="B184" i="9" a="1"/>
  <c r="B184" i="9" s="1"/>
  <c r="C184" i="9" s="1"/>
  <c r="B185" i="9" a="1"/>
  <c r="B185" i="9"/>
  <c r="C185" i="9" s="1"/>
  <c r="B186" i="9" a="1"/>
  <c r="B186" i="9" s="1"/>
  <c r="C186" i="9" s="1"/>
  <c r="B187" i="9" a="1"/>
  <c r="B187" i="9" s="1"/>
  <c r="C187" i="9" s="1"/>
  <c r="B188" i="9" a="1"/>
  <c r="B188" i="9" s="1"/>
  <c r="C188" i="9" s="1"/>
  <c r="B189" i="9" a="1"/>
  <c r="B189" i="9" s="1"/>
  <c r="C189" i="9" s="1"/>
  <c r="B190" i="9" a="1"/>
  <c r="B190" i="9" s="1"/>
  <c r="C190" i="9" s="1"/>
  <c r="B191" i="9" a="1"/>
  <c r="B191" i="9" s="1"/>
  <c r="C191" i="9" s="1"/>
  <c r="B192" i="9" a="1"/>
  <c r="B192" i="9" s="1"/>
  <c r="C192" i="9" s="1"/>
  <c r="B193" i="9" a="1"/>
  <c r="B193" i="9" s="1"/>
  <c r="C193" i="9" s="1"/>
  <c r="B194" i="9" a="1"/>
  <c r="B194" i="9" s="1"/>
  <c r="C194" i="9" s="1"/>
  <c r="B195" i="9" a="1"/>
  <c r="B195" i="9" s="1"/>
  <c r="C195" i="9" s="1"/>
  <c r="B196" i="9" a="1"/>
  <c r="B196" i="9" s="1"/>
  <c r="C196" i="9" s="1"/>
  <c r="B197" i="9" a="1"/>
  <c r="B197" i="9" s="1"/>
  <c r="C197" i="9" s="1"/>
  <c r="B198" i="9" a="1"/>
  <c r="B198" i="9" s="1"/>
  <c r="C198" i="9" s="1"/>
  <c r="B199" i="9" a="1"/>
  <c r="B199" i="9" s="1"/>
  <c r="C199" i="9" s="1"/>
  <c r="B200" i="9" a="1"/>
  <c r="B200" i="9" s="1"/>
  <c r="C200" i="9" s="1"/>
  <c r="B201" i="9" a="1"/>
  <c r="B201" i="9"/>
  <c r="C201" i="9" s="1"/>
  <c r="B202" i="9" a="1"/>
  <c r="B202" i="9" s="1"/>
  <c r="C202" i="9" s="1"/>
  <c r="B203" i="9" a="1"/>
  <c r="B203" i="9" s="1"/>
  <c r="C203" i="9" s="1"/>
  <c r="B204" i="9" a="1"/>
  <c r="B204" i="9" s="1"/>
  <c r="C204" i="9" s="1"/>
  <c r="B205" i="9" a="1"/>
  <c r="B205" i="9" s="1"/>
  <c r="C205" i="9" s="1"/>
  <c r="B206" i="9" a="1"/>
  <c r="B206" i="9" s="1"/>
  <c r="C206" i="9" s="1"/>
  <c r="B207" i="9" a="1"/>
  <c r="B207" i="9" s="1"/>
  <c r="C207" i="9" s="1"/>
  <c r="B208" i="9" a="1"/>
  <c r="B208" i="9" s="1"/>
  <c r="C208" i="9" s="1"/>
  <c r="B209" i="9" a="1"/>
  <c r="B209" i="9" s="1"/>
  <c r="C209" i="9" s="1"/>
  <c r="B210" i="9" a="1"/>
  <c r="B210" i="9" s="1"/>
  <c r="C210" i="9" s="1"/>
  <c r="B211" i="9" a="1"/>
  <c r="B211" i="9" s="1"/>
  <c r="C211" i="9" s="1"/>
  <c r="B212" i="9" a="1"/>
  <c r="B212" i="9" s="1"/>
  <c r="C212" i="9" s="1"/>
  <c r="B213" i="9" a="1"/>
  <c r="B213" i="9" s="1"/>
  <c r="C213" i="9" s="1"/>
  <c r="B214" i="9" a="1"/>
  <c r="B214" i="9" s="1"/>
  <c r="C214" i="9" s="1"/>
  <c r="B215" i="9" a="1"/>
  <c r="B215" i="9" s="1"/>
  <c r="C215" i="9" s="1"/>
  <c r="B216" i="9" a="1"/>
  <c r="B216" i="9" s="1"/>
  <c r="C216" i="9" s="1"/>
  <c r="B217" i="9" a="1"/>
  <c r="B217" i="9" s="1"/>
  <c r="C217" i="9" s="1"/>
  <c r="B218" i="9" a="1"/>
  <c r="B218" i="9" s="1"/>
  <c r="C218" i="9" s="1"/>
  <c r="B219" i="9" a="1"/>
  <c r="B219" i="9" s="1"/>
  <c r="C219" i="9" s="1"/>
  <c r="B220" i="9" a="1"/>
  <c r="B220" i="9" s="1"/>
  <c r="C220" i="9" s="1"/>
  <c r="B221" i="9" a="1"/>
  <c r="B221" i="9" s="1"/>
  <c r="C221" i="9" s="1"/>
  <c r="B222" i="9" a="1"/>
  <c r="B222" i="9" s="1"/>
  <c r="C222" i="9" s="1"/>
  <c r="B223" i="9" a="1"/>
  <c r="B223" i="9" s="1"/>
  <c r="C223" i="9" s="1"/>
  <c r="B224" i="9" a="1"/>
  <c r="B224" i="9" s="1"/>
  <c r="C224" i="9" s="1"/>
  <c r="B225" i="9" a="1"/>
  <c r="B225" i="9"/>
  <c r="C225" i="9" s="1"/>
  <c r="B226" i="9" a="1"/>
  <c r="B226" i="9" s="1"/>
  <c r="C226" i="9" s="1"/>
  <c r="B227" i="9" a="1"/>
  <c r="B227" i="9" s="1"/>
  <c r="C227" i="9" s="1"/>
  <c r="B228" i="9" a="1"/>
  <c r="B228" i="9" s="1"/>
  <c r="C228" i="9" s="1"/>
  <c r="B229" i="9" a="1"/>
  <c r="B229" i="9" s="1"/>
  <c r="C229" i="9" s="1"/>
  <c r="B230" i="9" a="1"/>
  <c r="B230" i="9" s="1"/>
  <c r="C230" i="9" s="1"/>
  <c r="B231" i="9" a="1"/>
  <c r="B231" i="9" s="1"/>
  <c r="C231" i="9" s="1"/>
  <c r="B232" i="9" a="1"/>
  <c r="B232" i="9" s="1"/>
  <c r="C232" i="9" s="1"/>
  <c r="B233" i="9" a="1"/>
  <c r="B233" i="9" s="1"/>
  <c r="C233" i="9" s="1"/>
  <c r="B234" i="9" a="1"/>
  <c r="B234" i="9" s="1"/>
  <c r="C234" i="9" s="1"/>
  <c r="B235" i="9" a="1"/>
  <c r="B235" i="9" s="1"/>
  <c r="C235" i="9" s="1"/>
  <c r="B236" i="9" a="1"/>
  <c r="B236" i="9" s="1"/>
  <c r="C236" i="9" s="1"/>
  <c r="B237" i="9" a="1"/>
  <c r="B237" i="9" s="1"/>
  <c r="C237" i="9" s="1"/>
  <c r="B238" i="9" a="1"/>
  <c r="B238" i="9" s="1"/>
  <c r="C238" i="9" s="1"/>
  <c r="B239" i="9" a="1"/>
  <c r="B239" i="9" s="1"/>
  <c r="C239" i="9" s="1"/>
  <c r="B240" i="9" a="1"/>
  <c r="B240" i="9" s="1"/>
  <c r="C240" i="9" s="1"/>
  <c r="B241" i="9" a="1"/>
  <c r="B241" i="9" s="1"/>
  <c r="C241" i="9" s="1"/>
  <c r="B242" i="9" a="1"/>
  <c r="B242" i="9" s="1"/>
  <c r="C242" i="9" s="1"/>
  <c r="B243" i="9" a="1"/>
  <c r="B243" i="9" s="1"/>
  <c r="C243" i="9" s="1"/>
  <c r="B244" i="9" a="1"/>
  <c r="B244" i="9" s="1"/>
  <c r="C244" i="9" s="1"/>
  <c r="B245" i="9" a="1"/>
  <c r="B245" i="9" s="1"/>
  <c r="C245" i="9" s="1"/>
  <c r="B246" i="9" a="1"/>
  <c r="B246" i="9" s="1"/>
  <c r="C246" i="9" s="1"/>
  <c r="B247" i="9" a="1"/>
  <c r="B247" i="9" s="1"/>
  <c r="C247" i="9" s="1"/>
  <c r="B248" i="9" a="1"/>
  <c r="B248" i="9" s="1"/>
  <c r="C248" i="9" s="1"/>
  <c r="B249" i="9" a="1"/>
  <c r="B249" i="9"/>
  <c r="C249" i="9" s="1"/>
  <c r="B250" i="9" a="1"/>
  <c r="B250" i="9" s="1"/>
  <c r="C250" i="9" s="1"/>
  <c r="B251" i="9" a="1"/>
  <c r="B251" i="9" s="1"/>
  <c r="C251" i="9" s="1"/>
  <c r="B252" i="9" a="1"/>
  <c r="B252" i="9" s="1"/>
  <c r="C252" i="9" s="1"/>
  <c r="B253" i="9" a="1"/>
  <c r="B253" i="9" s="1"/>
  <c r="C253" i="9" s="1"/>
  <c r="B254" i="9" a="1"/>
  <c r="B254" i="9" s="1"/>
  <c r="C254" i="9" s="1"/>
  <c r="B255" i="9" a="1"/>
  <c r="B255" i="9" s="1"/>
  <c r="C255" i="9" s="1"/>
  <c r="B256" i="9" a="1"/>
  <c r="B256" i="9" s="1"/>
  <c r="C256" i="9" s="1"/>
  <c r="B257" i="9" a="1"/>
  <c r="B257" i="9" s="1"/>
  <c r="C257" i="9" s="1"/>
  <c r="B258" i="9" a="1"/>
  <c r="B258" i="9" s="1"/>
  <c r="C258" i="9" s="1"/>
  <c r="B259" i="9" a="1"/>
  <c r="B259" i="9" s="1"/>
  <c r="C259" i="9" s="1"/>
  <c r="B260" i="9" a="1"/>
  <c r="B260" i="9" s="1"/>
  <c r="C260" i="9" s="1"/>
  <c r="B261" i="9" a="1"/>
  <c r="B261" i="9" s="1"/>
  <c r="C261" i="9" s="1"/>
  <c r="B262" i="9" a="1"/>
  <c r="B262" i="9" s="1"/>
  <c r="C262" i="9" s="1"/>
  <c r="B263" i="9" a="1"/>
  <c r="B263" i="9" s="1"/>
  <c r="C263" i="9" s="1"/>
  <c r="B264" i="9" a="1"/>
  <c r="B264" i="9" s="1"/>
  <c r="C264" i="9" s="1"/>
  <c r="B265" i="9" a="1"/>
  <c r="B265" i="9"/>
  <c r="C265" i="9" s="1"/>
  <c r="B266" i="9" a="1"/>
  <c r="B266" i="9" s="1"/>
  <c r="C266" i="9" s="1"/>
  <c r="B267" i="9" a="1"/>
  <c r="B267" i="9" s="1"/>
  <c r="C267" i="9" s="1"/>
  <c r="B268" i="9" a="1"/>
  <c r="B268" i="9" s="1"/>
  <c r="C268" i="9" s="1"/>
  <c r="B269" i="9" a="1"/>
  <c r="B269" i="9" s="1"/>
  <c r="C269" i="9" s="1"/>
  <c r="B270" i="9" a="1"/>
  <c r="B270" i="9" s="1"/>
  <c r="C270" i="9" s="1"/>
  <c r="B271" i="9" a="1"/>
  <c r="B271" i="9" s="1"/>
  <c r="C271" i="9" s="1"/>
  <c r="B272" i="9" a="1"/>
  <c r="B272" i="9" s="1"/>
  <c r="C272" i="9" s="1"/>
  <c r="B273" i="9" a="1"/>
  <c r="B273" i="9" s="1"/>
  <c r="C273" i="9" s="1"/>
  <c r="B274" i="9" a="1"/>
  <c r="B274" i="9" s="1"/>
  <c r="C274" i="9" s="1"/>
  <c r="B275" i="9" a="1"/>
  <c r="B275" i="9" s="1"/>
  <c r="C275" i="9" s="1"/>
  <c r="B276" i="9" a="1"/>
  <c r="B276" i="9" s="1"/>
  <c r="C276" i="9" s="1"/>
  <c r="B277" i="9" a="1"/>
  <c r="B277" i="9" s="1"/>
  <c r="C277" i="9" s="1"/>
  <c r="B278" i="9" a="1"/>
  <c r="B278" i="9" s="1"/>
  <c r="C278" i="9" s="1"/>
  <c r="B279" i="9" a="1"/>
  <c r="B279" i="9" s="1"/>
  <c r="C279" i="9" s="1"/>
  <c r="B280" i="9" a="1"/>
  <c r="B280" i="9" s="1"/>
  <c r="C280" i="9" s="1"/>
  <c r="B281" i="9" a="1"/>
  <c r="B281" i="9" s="1"/>
  <c r="C281" i="9" s="1"/>
  <c r="B282" i="9" a="1"/>
  <c r="B282" i="9" s="1"/>
  <c r="C282" i="9" s="1"/>
  <c r="B283" i="9" a="1"/>
  <c r="B283" i="9" s="1"/>
  <c r="C283" i="9" s="1"/>
  <c r="B284" i="9" a="1"/>
  <c r="B284" i="9" s="1"/>
  <c r="C284" i="9" s="1"/>
  <c r="B285" i="9" a="1"/>
  <c r="B285" i="9" s="1"/>
  <c r="C285" i="9" s="1"/>
  <c r="B286" i="9" a="1"/>
  <c r="B286" i="9" s="1"/>
  <c r="C286" i="9" s="1"/>
  <c r="B287" i="9" a="1"/>
  <c r="B287" i="9" s="1"/>
  <c r="C287" i="9" s="1"/>
  <c r="B288" i="9" a="1"/>
  <c r="B288" i="9" s="1"/>
  <c r="C288" i="9" s="1"/>
  <c r="B289" i="9" a="1"/>
  <c r="B289" i="9" s="1"/>
  <c r="C289" i="9" s="1"/>
  <c r="B290" i="9" a="1"/>
  <c r="B290" i="9" s="1"/>
  <c r="C290" i="9" s="1"/>
  <c r="B291" i="9" a="1"/>
  <c r="B291" i="9" s="1"/>
  <c r="C291" i="9" s="1"/>
  <c r="B292" i="9" a="1"/>
  <c r="B292" i="9" s="1"/>
  <c r="C292" i="9" s="1"/>
  <c r="B293" i="9" a="1"/>
  <c r="B293" i="9" s="1"/>
  <c r="C293" i="9" s="1"/>
  <c r="B294" i="9" a="1"/>
  <c r="B294" i="9" s="1"/>
  <c r="C294" i="9" s="1"/>
  <c r="B295" i="9" a="1"/>
  <c r="B295" i="9" s="1"/>
  <c r="C295" i="9" s="1"/>
  <c r="B296" i="9" a="1"/>
  <c r="B296" i="9" s="1"/>
  <c r="C296" i="9" s="1"/>
  <c r="B297" i="9" a="1"/>
  <c r="B297" i="9" s="1"/>
  <c r="C297" i="9" s="1"/>
  <c r="B298" i="9" a="1"/>
  <c r="B298" i="9" s="1"/>
  <c r="C298" i="9" s="1"/>
  <c r="B299" i="9" a="1"/>
  <c r="B299" i="9" s="1"/>
  <c r="C299" i="9" s="1"/>
  <c r="B1" i="7" a="1"/>
  <c r="B1" i="7" s="1"/>
  <c r="D2" i="6" a="1"/>
  <c r="D2" i="6" s="1"/>
  <c r="A8" i="5" a="1"/>
  <c r="A8" i="5" s="1"/>
  <c r="D4" i="2"/>
  <c r="B4" i="2"/>
  <c r="B2" i="7" a="1"/>
  <c r="B2" i="7" s="1"/>
  <c r="B3" i="7" a="1"/>
  <c r="B3" i="7" s="1"/>
  <c r="B5" i="7" a="1"/>
  <c r="B5" i="7" s="1"/>
  <c r="A1" i="7" a="1"/>
  <c r="A1" i="7" s="1"/>
  <c r="B4" i="7" l="1" a="1"/>
  <c r="B4" i="7" s="1"/>
  <c r="D15" i="3"/>
  <c r="E4" i="2" a="1"/>
  <c r="E4" i="2" s="1"/>
  <c r="C4" i="2" a="1"/>
  <c r="C4" i="2" s="1"/>
  <c r="G4" i="2" s="1" a="1"/>
  <c r="G4" i="2" s="1"/>
  <c r="D7" i="1" a="1"/>
  <c r="D7" i="1" s="1"/>
  <c r="D8" i="1" a="1"/>
  <c r="D8" i="1" s="1"/>
  <c r="D9" i="1" a="1"/>
  <c r="D9" i="1" s="1"/>
  <c r="A2" i="3" a="1"/>
  <c r="A2" i="3" l="1"/>
  <c r="G2" i="3" s="1" a="1"/>
  <c r="G2" i="3" s="1"/>
  <c r="F2" i="3" l="1" a="1"/>
  <c r="F2" i="3" s="1"/>
  <c r="E2" i="3" a="1"/>
  <c r="E2" i="3" s="1"/>
  <c r="A16" i="3" l="1" a="1"/>
  <c r="A16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7E946A-042D-4A0B-A41D-05E104E6CB1A}" keepAlive="1" name="Query - plan" description="Connection to the 'plan' query in the workbook." type="5" refreshedVersion="8" background="1" saveData="1">
    <dbPr connection="Provider=Microsoft.Mashup.OleDb.1;Data Source=$Workbook$;Location=plan;Extended Properties=&quot;&quot;" command="SELECT * FROM [pla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<sst xmlns="http://schemas.openxmlformats.org/spreadsheetml/2006/main" count="369" uniqueCount="137">
  <si>
    <t>Text:</t>
  </si>
  <si>
    <t>Data:</t>
  </si>
  <si>
    <t>Ziore</t>
  </si>
  <si>
    <t>Louis</t>
  </si>
  <si>
    <t>Xi</t>
  </si>
  <si>
    <t>Louise</t>
  </si>
  <si>
    <t>Mo</t>
  </si>
  <si>
    <t>Teddy</t>
  </si>
  <si>
    <t>wendys'</t>
  </si>
  <si>
    <t>Replaced</t>
  </si>
  <si>
    <t>{{FRIEND}}</t>
  </si>
  <si>
    <t>{{MYNAME}}</t>
  </si>
  <si>
    <t>{{TIME}}</t>
  </si>
  <si>
    <t>18:15</t>
  </si>
  <si>
    <t>1600</t>
  </si>
  <si>
    <t>Hi {{FRIEND}},
its {{MYNAME}}; would you like 
to go for dinner at {{TIME}}?</t>
  </si>
  <si>
    <t>Input:</t>
  </si>
  <si>
    <t>Operation</t>
  </si>
  <si>
    <t>+</t>
  </si>
  <si>
    <t>-</t>
  </si>
  <si>
    <t>*</t>
  </si>
  <si>
    <t>/</t>
  </si>
  <si>
    <t>Result</t>
  </si>
  <si>
    <t>Files in Folder</t>
  </si>
  <si>
    <t>C:\Users\faebl\OneDrive\uni\</t>
  </si>
  <si>
    <t>Excel</t>
  </si>
  <si>
    <t>PDF</t>
  </si>
  <si>
    <t>plain-text</t>
  </si>
  <si>
    <t>excel</t>
  </si>
  <si>
    <t>Move</t>
  </si>
  <si>
    <t>to</t>
  </si>
  <si>
    <t>Anoana</t>
  </si>
  <si>
    <t>Heilung</t>
  </si>
  <si>
    <t>tribal,mystic</t>
  </si>
  <si>
    <t>Svitjod</t>
  </si>
  <si>
    <t>Forndom</t>
  </si>
  <si>
    <t>tribal,sad,gurdy</t>
  </si>
  <si>
    <t>Over the hills</t>
  </si>
  <si>
    <t>Patty Gurdy</t>
  </si>
  <si>
    <t>upbeat,gurdy,folk</t>
  </si>
  <si>
    <t>Song</t>
  </si>
  <si>
    <t>Interpret</t>
  </si>
  <si>
    <t>Tags</t>
  </si>
  <si>
    <t>Tag</t>
  </si>
  <si>
    <t>gurdy</t>
  </si>
  <si>
    <t>a</t>
  </si>
  <si>
    <t>b</t>
  </si>
  <si>
    <t>c</t>
  </si>
  <si>
    <t>d</t>
  </si>
  <si>
    <t>e</t>
  </si>
  <si>
    <t>f</t>
  </si>
  <si>
    <t>Dataset1</t>
  </si>
  <si>
    <t>Dataset2</t>
  </si>
  <si>
    <t>Dataset Whole</t>
  </si>
  <si>
    <t>fix f = let x = f x in x</t>
  </si>
  <si>
    <t>B4</t>
  </si>
  <si>
    <t>C4</t>
  </si>
  <si>
    <t>D5</t>
  </si>
  <si>
    <t>E4</t>
  </si>
  <si>
    <t>G4</t>
  </si>
  <si>
    <t>A2</t>
  </si>
  <si>
    <t>E2</t>
  </si>
  <si>
    <t>B8</t>
  </si>
  <si>
    <t>CONCAT_RANGES</t>
  </si>
  <si>
    <t>(i)
MAKEARRAY: generates an array of size `size`x1 using the function (x,y)-&gt;value.
The used LAMBDA simply takes an element from list Arr if the index is even and from list Brr otherwise.</t>
  </si>
  <si>
    <t>B1</t>
  </si>
  <si>
    <t>(i)
Y_COMB f = 
  let g = \x -&gt; f(\v -&gt; let xx=x x, x v)
   in g g</t>
  </si>
  <si>
    <t>Dependencies</t>
  </si>
  <si>
    <t>base-4.12.0.0</t>
  </si>
  <si>
    <t>stm-2.5.0.0</t>
  </si>
  <si>
    <t>transformers-0.5.6.2</t>
  </si>
  <si>
    <t>attoparsec-0.13.2.2-57G10jEJDqpAGBzdPd1gJX</t>
  </si>
  <si>
    <t>base-compat-0.12.2-8d20ff6ad6979516e0f022312b7d9423195dbe0bc21ff5524650acc923560c86</t>
  </si>
  <si>
    <t>bytestring-0.10.8.2</t>
  </si>
  <si>
    <t>containers-0.6.0.1</t>
  </si>
  <si>
    <t>deepseq-1.4.4.0</t>
  </si>
  <si>
    <t>dlist-0.8.0.8-50c20217dd0e9e643a84c45ae6a079389887dda6f9cfd0e9343d074be0bd1f4e</t>
  </si>
  <si>
    <t>ghc-prim-0.5.3</t>
  </si>
  <si>
    <t>hashable-1.2.7.0-H20bdhmlLgl6TLYsKFVKYh</t>
  </si>
  <si>
    <t>primitive-0.6.4.0-ILgywxtLpvnAOlEISPpP5b</t>
  </si>
  <si>
    <t>scientific-0.3.6.2-L8TyZxaD2R7IMolkrmnZol</t>
  </si>
  <si>
    <t>tagged-0.8.6.1-566ec9ec5151c74e81541ffc7c5a0ef67de3c0429a9c31f30377e308c54d8b87</t>
  </si>
  <si>
    <t>template-haskell-2.14.0.0</t>
  </si>
  <si>
    <t>text-1.2.3.1</t>
  </si>
  <si>
    <t>th-abstraction-0.4.5.0-be220fbc3b8fb4f22a3a5e0bd14eb054e8587bc70e7b7d7bcd89fc0d81da913c</t>
  </si>
  <si>
    <t>time-1.8.0.2</t>
  </si>
  <si>
    <t>time-compat-1.9.5-125631454be41d0836abf64b37ee8ce47d5c4d893e59727ec7d1936c0046fe31</t>
  </si>
  <si>
    <t>unordered-containers-0.2.10.0-5Ya1jZdnP8H6JTBIgt1V4y</t>
  </si>
  <si>
    <t>uuid-types-1.0.5-3773aa9822a0b82bd2a0adacbb6eca77270e169048f7586c757338fd9a4827ca</t>
  </si>
  <si>
    <t>vector-0.12.0.3-2LEYu9M2i7lERDtz76XG3n</t>
  </si>
  <si>
    <t>colour-2.3.5-7cc4ff67f62b39f31668a50554a26aea929c746c154f83be89c7eaed763b8428</t>
  </si>
  <si>
    <t>ansi-terminal-0.11.3-8d1eb408a0bc11105e768f9a74e6b81d0213ac7e0b6c0a77d9a19109a1eb8d32</t>
  </si>
  <si>
    <t>array-0.5.3.0</t>
  </si>
  <si>
    <t>integer-gmp-1.0.2.0</t>
  </si>
  <si>
    <t>rts</t>
  </si>
  <si>
    <t>unix-2.7.2.2</t>
  </si>
  <si>
    <t>base-orphans-0.8.7-a87238d58933a97b7d7b7e7eb73d9005b4a0f1f949dfc57e9f39677f329e9557</t>
  </si>
  <si>
    <t>comonad-5.0.8-0e4a8750ec9442b2743cf20a90e9dc0fd40148ac964c9da263fc2fbbf60ce167</t>
  </si>
  <si>
    <t>distributive-0.6.2.1-f9c258448a0f460c42b24bd1a98e0851332479a84faf7b6cc930b2a33faff6e7</t>
  </si>
  <si>
    <t>indexed-traversable-0.1.2-eace64dd74f538ba2bdc445d289d87e28ec3e56f64fb75515102e6a6ce6833b6</t>
  </si>
  <si>
    <t>transformers-compat-0.7.2-36d8cec51dcc633fe44908a48181aa720b57bcbfc9e518d5ce2cd8819ec7bef5</t>
  </si>
  <si>
    <t>StateVar-1.2.2-5f09122fcb9890fe92996ac77e54c88331b9f8a04e35ed346a3a87965194dd8c</t>
  </si>
  <si>
    <t>filepath-1.4.2.1</t>
  </si>
  <si>
    <t>mtl-2.2.2</t>
  </si>
  <si>
    <t>contravariant-1.5.5-08d5f85a01d15e49fa51b6397da4501f3564ece177f39a93df145c49f70f5812</t>
  </si>
  <si>
    <t>mwc-random-0.14.0.0-bb54100469de83af56683a389f015984ff5936866bbad3bd4e75c0706bf2793d</t>
  </si>
  <si>
    <t>profunctors-5.6.2-f0826699c53e1110f6bf1eb00710327a6aec536c7a1e49155f291350cf9819b1</t>
  </si>
  <si>
    <t>semigroupoids-5.3.7-7344e832acad69f84466fd7ea60e2f5f5af9cc8d26156e2c1af58b97b8656fe6</t>
  </si>
  <si>
    <t>data-default-class-0.1.2.0-62b00628a61c5bdfe3d6a55bbeaf13ba427aa6399e727fa2fd4ebaa528e46c35</t>
  </si>
  <si>
    <t>math-functions-0.3.4.2-794c81e9fbd5a24f83ab6eef455be48d63880df3a42779a5058e95de1d010982</t>
  </si>
  <si>
    <t>ansi-wl-pprint-0.6.9-63d475df4b6bfde8b9c7262583af9193db8f56b31b88cb1750f787fdbda1db89</t>
  </si>
  <si>
    <t>process-1.6.5.0</t>
  </si>
  <si>
    <t>directory-1.3.3.0</t>
  </si>
  <si>
    <t>bifunctors-5.5.13-4a07f65d7442a723faf3242d81734ccc2c6e8c44a1b1be8a40b1ed396e629012</t>
  </si>
  <si>
    <t>binary-0.8.6.0</t>
  </si>
  <si>
    <t>integer-logarithms-1.0.3-KPDpy5HR6UPHLfvnPztou</t>
  </si>
  <si>
    <t>async-2.2.2-5DAi1Cn34zNFvcR5BQYdDA</t>
  </si>
  <si>
    <t>network-2.8.0.1-Hmt657UE3v349uYmvUXEvW</t>
  </si>
  <si>
    <t>random-1.1-3ypV4EIycgb35PKjTYYr5q</t>
  </si>
  <si>
    <t>zlib-0.6.2-BdOecmQ0rL1HOiGypdSgxY</t>
  </si>
  <si>
    <t>ghc-boot-th-8.6.5</t>
  </si>
  <si>
    <t>pretty-1.1.3.6</t>
  </si>
  <si>
    <t>exceptions-0.10.5-02b355ea887ddfd096e35ad60ee849790c0c14505d7ede238be21136eed9290f</t>
  </si>
  <si>
    <t>aeson-1.4.6.0-8dbb525e7f771d50dbe47154e2fcd26c2e6e996d56f1cd87828d9e2fea10de94</t>
  </si>
  <si>
    <t>turtle-1.6.1-00b78c200127bdd87eb9188533910bfa89068cb6b54211d5e06e6c23f02655b1</t>
  </si>
  <si>
    <t>optparse-applicative-0.17.0.0-9fd809b06ba02232f1962d794b7b2a5bb86c669ea37b8efdb6cf8021f249bffc</t>
  </si>
  <si>
    <t>testProject-0.1.0.0-inplace-testLib</t>
  </si>
  <si>
    <t>clock-0.8.3-2c0ba435833a4e559a124209e85aec1fdc08a9b6eb74fbd1211b59493c5c10a9</t>
  </si>
  <si>
    <t>foldl-1.4.11-4a5f8bf3bff3d9c161a2ad05c3052f90f703f0f11c2a48ece07d4d6b5e6ea7d6</t>
  </si>
  <si>
    <t>hostname-1.0-874a497834c63315f592fbf224619efb57a3c9481b9bb435590dcdfc367bdbe4</t>
  </si>
  <si>
    <t>managed-1.0.9-511db7e35eb780db562210c694ceb03ef0bf4c8e051b237302be50a33b702105</t>
  </si>
  <si>
    <t>optional-args-1.0.2-a8f7571005efb9205eda33b6ac3eaeaf52517e8ace5c112fcae08594fc3744d7</t>
  </si>
  <si>
    <t>streaming-commons-0.2.2.4-ca5fb234c643abed2f10a2793560d5a998f926930128cee5f2f36ab5a99f02c3</t>
  </si>
  <si>
    <t>temporary-1.3-ffd9e3e28347f78e57dd5d595a77212e2d0002e4230c7fa6c88d7d02d9857333</t>
  </si>
  <si>
    <t>unix-compat-0.6-1d5e0de9aac1c5c0b2465da0dd173002bced707dda67428f8bccf10141c47f89</t>
  </si>
  <si>
    <t>Cleaned Output</t>
  </si>
  <si>
    <t>Commands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</si>
</sst>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4"/>
      <color theme="1"/>
      <name val="Iosevka Custom Extended"/>
      <family val="2"/>
    </font>
    <font>
      <sz val="8"/>
      <name val="Iosevka Custom Extended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20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/>
    <xf numFmtId="0" fontId="0" fillId="0" borderId="0" xfId="0" quotePrefix="1" applyAlignment="1">
      <alignment horizontal="left" vertical="center" wrapText="1" indent="1"/>
    </xf>
    <xf numFmtId="0" fontId="0" fillId="0" borderId="0" xfId="0" quotePrefix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2" borderId="0" xfId="0" applyFill="1" applyAlignment="1">
      <alignment horizontal="left" wrapText="1"/>
    </xf>
    <xf numFmtId="2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 applyAlignment="1">
      <alignment wrapText="1"/>
    </xf>
    <xf numFmtId="0" fontId="0" fillId="0" borderId="0" xfId="0" applyAlignment="1">
      <alignment wrapText="1"/>
    </xf>
    <xf numFmtId="0" fontId="0" fillId="3" borderId="0" xfId="0" applyFill="1" applyAlignment="1">
      <alignment horizontal="left" vertical="top" wrapText="1"/>
    </xf>
    <xf numFmtId="0" fontId="0" fillId="3" borderId="0" xfId="0" applyFill="1"/>
    <xf numFmtId="0" fontId="0" fillId="3" borderId="0" xfId="0" quotePrefix="1" applyFill="1" applyAlignment="1">
      <alignment horizontal="left" vertical="top" wrapText="1"/>
    </xf>
    <xf numFmtId="0" fontId="0" fillId="0" borderId="0" xfId="0" quotePrefix="1" applyFill="1" applyAlignment="1">
      <alignment vertical="top" wrapText="1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83820</xdr:colOff>
      <xdr:row>6</xdr:row>
      <xdr:rowOff>632460</xdr:rowOff>
    </xdr:from>
    <xdr:to>
      <xdr:col>4</xdr:col>
      <xdr:colOff>6934200</xdr:colOff>
      <xdr:row>8</xdr:row>
      <xdr:rowOff>441960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BA4FBA-97AE-65BF-66F7-2E37F4412B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3918" t="21781" r="48619" b="64810"/>
        <a:stretch/>
      </xdr:blipFill>
      <xdr:spPr>
        <a:xfrm>
          <a:off x="6667500" y="2758440"/>
          <a:ext cx="6850380" cy="1379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</xdr:colOff>
      <xdr:row>9</xdr:row>
      <xdr:rowOff>0</xdr:rowOff>
    </xdr:from>
    <xdr:to>
      <xdr:col>3</xdr:col>
      <xdr:colOff>853602</xdr:colOff>
      <xdr:row>10</xdr:row>
      <xdr:rowOff>15240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1C2611-D3C3-596E-FE91-3BB8F5D2D1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673" t="5723"/>
        <a:stretch/>
      </xdr:blipFill>
      <xdr:spPr>
        <a:xfrm>
          <a:off x="1981200" y="2125980"/>
          <a:ext cx="1798482" cy="25146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</xdr:colOff>
      <xdr:row>10</xdr:row>
      <xdr:rowOff>0</xdr:rowOff>
    </xdr:from>
    <xdr:to>
      <xdr:col>6</xdr:col>
      <xdr:colOff>800518</xdr:colOff>
      <xdr:row>11</xdr:row>
      <xdr:rowOff>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D2714B-ADAC-5750-D5F0-82EA096BC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200" y="2362200"/>
          <a:ext cx="4823878" cy="23624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</xdr:colOff>
      <xdr:row>10</xdr:row>
      <xdr:rowOff>228579</xdr:rowOff>
    </xdr:from>
    <xdr:to>
      <xdr:col>4</xdr:col>
      <xdr:colOff>343096</xdr:colOff>
      <xdr:row>12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AF8B1-11FF-9F54-B293-251AC857E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1200" y="2590779"/>
          <a:ext cx="2263336" cy="243861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</xdr:colOff>
      <xdr:row>11</xdr:row>
      <xdr:rowOff>220958</xdr:rowOff>
    </xdr:from>
    <xdr:to>
      <xdr:col>8</xdr:col>
      <xdr:colOff>686377</xdr:colOff>
      <xdr:row>13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113FA29-7759-0461-FB8B-6940A9F0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81200" y="2819378"/>
          <a:ext cx="6660457" cy="251482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</xdr:colOff>
      <xdr:row>12</xdr:row>
      <xdr:rowOff>220958</xdr:rowOff>
    </xdr:from>
    <xdr:to>
      <xdr:col>8</xdr:col>
      <xdr:colOff>160552</xdr:colOff>
      <xdr:row>14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A3CC76C-7E84-1349-4A7E-EB083883F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81200" y="3055598"/>
          <a:ext cx="6134632" cy="251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</xdr:row>
      <xdr:rowOff>0</xdr:rowOff>
    </xdr:from>
    <xdr:to>
      <xdr:col>1</xdr:col>
      <xdr:colOff>1607959</xdr:colOff>
      <xdr:row>13</xdr:row>
      <xdr:rowOff>10778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3E51F-84D8-BA6E-6E6C-E57807B12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6047" y="2796988"/>
          <a:ext cx="1607959" cy="243861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331693</xdr:colOff>
      <xdr:row>6</xdr:row>
      <xdr:rowOff>8965</xdr:rowOff>
    </xdr:from>
    <xdr:to>
      <xdr:col>11</xdr:col>
      <xdr:colOff>357838</xdr:colOff>
      <xdr:row>6</xdr:row>
      <xdr:rowOff>229964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CDE7FA-532F-1D84-E942-A1493D6C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2964" y="1407459"/>
          <a:ext cx="6866215" cy="220999"/>
        </a:xfrm>
        <a:prstGeom prst="rect">
          <a:avLst/>
        </a:prstGeom>
      </xdr:spPr>
    </xdr:pic>
    <xdr:clientData/>
  </xdr:twoCellAnchor>
  <xdr:twoCellAnchor editAs="oneCell">
    <xdr:from>
      <xdr:col>0</xdr:col>
      <xdr:colOff>35858</xdr:colOff>
      <xdr:row>18</xdr:row>
      <xdr:rowOff>233082</xdr:rowOff>
    </xdr:from>
    <xdr:to>
      <xdr:col>5</xdr:col>
      <xdr:colOff>609153</xdr:colOff>
      <xdr:row>20</xdr:row>
      <xdr:rowOff>10778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D28D6FD-2F02-EC5B-DD25-8E64983CB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858" y="4428564"/>
          <a:ext cx="10371719" cy="2438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6</xdr:row>
      <xdr:rowOff>228600</xdr:rowOff>
    </xdr:from>
    <xdr:to>
      <xdr:col>6</xdr:col>
      <xdr:colOff>777726</xdr:colOff>
      <xdr:row>16</xdr:row>
      <xdr:rowOff>106874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39EFF8-7741-B2CA-F060-CFD8CFF2C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9880" y="1645920"/>
          <a:ext cx="5608806" cy="22404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480060</xdr:colOff>
      <xdr:row>4</xdr:row>
      <xdr:rowOff>15240</xdr:rowOff>
    </xdr:from>
    <xdr:to>
      <xdr:col>5</xdr:col>
      <xdr:colOff>3924598</xdr:colOff>
      <xdr:row>17</xdr:row>
      <xdr:rowOff>122195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228D17-79AC-7F79-E9B2-DD1E1E550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9780" y="960120"/>
          <a:ext cx="3444538" cy="317781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5</xdr:col>
      <xdr:colOff>1928112</xdr:colOff>
      <xdr:row>2</xdr:row>
      <xdr:rowOff>22882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6984B1-9174-F6AF-00B1-860B145A8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04360" y="236220"/>
          <a:ext cx="2903472" cy="2591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</xdr:colOff>
      <xdr:row>0</xdr:row>
      <xdr:rowOff>30480</xdr:rowOff>
    </xdr:from>
    <xdr:to>
      <xdr:col>3</xdr:col>
      <xdr:colOff>6462319</xdr:colOff>
      <xdr:row>8</xdr:row>
      <xdr:rowOff>76368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ECEE8E-196B-DA5C-AB81-61491CE79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1320" y="30480"/>
          <a:ext cx="6447079" cy="1935648"/>
        </a:xfrm>
        <a:prstGeom prst="rect">
          <a:avLst/>
        </a:prstGeom>
      </xdr:spPr>
    </xdr:pic>
    <xdr:clientData/>
  </xdr:twoCellAnchor>
  <xdr:twoCellAnchor editAs="oneCell">
    <xdr:from>
      <xdr:col>3</xdr:col>
      <xdr:colOff>6598920</xdr:colOff>
      <xdr:row>0</xdr:row>
      <xdr:rowOff>0</xdr:rowOff>
    </xdr:from>
    <xdr:to>
      <xdr:col>5</xdr:col>
      <xdr:colOff>686193</xdr:colOff>
      <xdr:row>9</xdr:row>
      <xdr:rowOff>91632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351383-B96C-7819-309E-417B885B9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00" y="0"/>
          <a:ext cx="4534293" cy="221761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1CF5F28-0BE0-4009-ABDE-EF7AD9D5815F}" autoFormatId="16" applyNumberFormats="0" applyBorderFormats="0" applyFontFormats="0" applyPatternFormats="0" applyAlignmentFormats="0" applyWidthHeightFormats="0">
  <queryTableRefresh nextId="4" unboundColumnsRight="2">
    <queryTableFields count="3">
      <queryTableField id="1" name="Dependencies" tableColumnId="1"/>
      <queryTableField id="2" dataBound="0" tableColumnId="2"/>
      <queryTableField id="3" dataBound="0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BE1EC-59CB-4475-9BD5-BAB889995C15}" name="Table1" displayName="Table1" ref="A6:D9" totalsRowShown="0">
  <autoFilter ref="A6:D9" xr:uid="{619BE1EC-59CB-4475-9BD5-BAB889995C15}"/>
  <tableColumns count="4">
    <tableColumn id="1" xr3:uid="{53A34651-CF05-48BB-8047-A04E73628658}" name="{{FRIEND}}" dataDxfId="6"/>
    <tableColumn id="2" xr3:uid="{1370EE64-608C-41DB-8256-0F0771EBEBC8}" name="{{MYNAME}}" dataDxfId="5"/>
    <tableColumn id="3" xr3:uid="{18354EBF-84A2-4EF3-A601-E0583231C82D}" name="{{TIME}}" dataDxfId="4"/>
    <tableColumn id="4" xr3:uid="{B648B6EA-D010-435F-A319-1A4E7A744264}" name="Replaced" dataDxfId="3">
      <calculatedColumnFormula array="1">TEXT_REPLACE(Table1[[#Headers],[{{TIME}}]],Table1[[#This Row],[{{TIME}}]],TEXT_REPLACE(Table1[[#Headers],[{{MYNAME}}]],Table1[[#This Row],[{{MYNAME}}]],TEXT_REPLACE(Table1[[#Headers],[{{FRIEND}}]], Table1[[#This Row],[{{FRIEND}}]],$B$3)))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4660B4-74B9-4B96-A903-237E994DCAF6}" name="Table2" displayName="Table2" ref="A1:C4" totalsRowShown="0">
  <autoFilter ref="A1:C4" xr:uid="{7E4660B4-74B9-4B96-A903-237E994DCAF6}"/>
  <tableColumns count="3">
    <tableColumn id="1" xr3:uid="{5C2ECEDF-10E9-478D-A225-FDED2EE9ED89}" name="Song"/>
    <tableColumn id="2" xr3:uid="{6E1FB8EA-DBB9-4222-B4FA-9277B38CD091}" name="Interpret"/>
    <tableColumn id="3" xr3:uid="{4AC9A196-1922-4E0A-A21D-A415B761BCD2}" name="Tag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57C98D-E529-40EE-861E-2E60F23D1A8D}" name="plan" displayName="plan" ref="A1:C299" tableType="queryTable" totalsRowShown="0">
  <autoFilter ref="A1:C299" xr:uid="{5457C98D-E529-40EE-861E-2E60F23D1A8D}"/>
  <tableColumns count="3">
    <tableColumn id="1" xr3:uid="{AA3E8E46-7B27-43E0-A184-414909FAF221}" uniqueName="1" name="Dependencies" queryTableFieldId="1"/>
    <tableColumn id="2" xr3:uid="{EA710457-7E51-43A2-9018-E27BC3421B14}" uniqueName="2" name="Cleaned Output" queryTableFieldId="2" dataDxfId="1">
      <calculatedColumnFormula array="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calculatedColumnFormula>
    </tableColumn>
    <tableColumn id="3" xr3:uid="{6C3A01C6-AD11-496B-9C63-24B1DEE27E9C}" uniqueName="3" name="Commands" queryTableFieldId="3" dataDxfId="0">
      <calculatedColumnFormula>"cabal get -d outputDir " &amp; plan[[#This Row],[Cleaned Output]]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7B17D-14CA-4665-B695-283912A7CCF7}">
  <sheetPr codeName="Sheet1"/>
  <dimension ref="A3:E9"/>
  <sheetViews>
    <sheetView tabSelected="1" topLeftCell="A2" workbookViewId="0">
      <selection activeCell="B3" sqref="B3:D3"/>
    </sheetView>
  </sheetViews>
  <sheetFormatPr defaultRowHeight="18.600000000000001" x14ac:dyDescent="0.4"/>
  <cols>
    <col min="1" max="2" width="12.2109375" bestFit="1" customWidth="1"/>
    <col min="3" max="3" width="10.2109375" bestFit="1" customWidth="1"/>
    <col min="4" max="4" width="27.0703125" customWidth="1"/>
    <col min="5" max="5" width="65.0703125" customWidth="1"/>
  </cols>
  <sheetData>
    <row r="3" spans="1:5" ht="55.8" customHeight="1" x14ac:dyDescent="0.4">
      <c r="A3" s="1" t="s">
        <v>0</v>
      </c>
      <c r="B3" s="9" t="s">
        <v>15</v>
      </c>
      <c r="C3" s="9"/>
      <c r="D3" s="9"/>
    </row>
    <row r="5" spans="1:5" x14ac:dyDescent="0.4">
      <c r="A5" t="s">
        <v>1</v>
      </c>
    </row>
    <row r="6" spans="1:5" x14ac:dyDescent="0.4">
      <c r="A6" t="s">
        <v>10</v>
      </c>
      <c r="B6" t="s">
        <v>11</v>
      </c>
      <c r="C6" t="s">
        <v>12</v>
      </c>
      <c r="D6" t="s">
        <v>9</v>
      </c>
    </row>
    <row r="7" spans="1:5" ht="60.6" customHeight="1" x14ac:dyDescent="0.4">
      <c r="A7" s="1" t="s">
        <v>2</v>
      </c>
      <c r="B7" s="1" t="s">
        <v>3</v>
      </c>
      <c r="C7" s="2" t="s">
        <v>13</v>
      </c>
      <c r="D7" s="4" t="str" cm="1">
        <f t="array" ref="D7">TEXT_REPLACE(Table1[[#Headers],[{{TIME}}]],Table1[[#This Row],[{{TIME}}]],TEXT_REPLACE(Table1[[#Headers],[{{MYNAME}}]],Table1[[#This Row],[{{MYNAME}}]],TEXT_REPLACE(Table1[[#Headers],[{{FRIEND}}]], Table1[[#This Row],[{{FRIEND}}]],$B$3)))</f>
        <v>Hi Ziore,
its Louis; would you like 
to go for dinner at 18:15?</v>
      </c>
      <c r="E7" s="6"/>
    </row>
    <row r="8" spans="1:5" ht="63" customHeight="1" x14ac:dyDescent="0.4">
      <c r="A8" s="1" t="s">
        <v>4</v>
      </c>
      <c r="B8" s="1" t="s">
        <v>5</v>
      </c>
      <c r="C8" s="3" t="s">
        <v>14</v>
      </c>
      <c r="D8" s="4" t="str" cm="1">
        <f t="array" ref="D8">TEXT_REPLACE(Table1[[#Headers],[{{TIME}}]],Table1[[#This Row],[{{TIME}}]],TEXT_REPLACE(Table1[[#Headers],[{{MYNAME}}]],Table1[[#This Row],[{{MYNAME}}]],TEXT_REPLACE(Table1[[#Headers],[{{FRIEND}}]], Table1[[#This Row],[{{FRIEND}}]],$B$3)))</f>
        <v>Hi Xi,
its Louise; would you like 
to go for dinner at 1600?</v>
      </c>
      <c r="E8" s="6"/>
    </row>
    <row r="9" spans="1:5" ht="81.599999999999994" customHeight="1" x14ac:dyDescent="0.4">
      <c r="A9" s="1" t="s">
        <v>6</v>
      </c>
      <c r="B9" s="1" t="s">
        <v>7</v>
      </c>
      <c r="C9" s="1" t="s">
        <v>8</v>
      </c>
      <c r="D9" s="4" t="str" cm="1">
        <f t="array" ref="D9">TEXT_REPLACE(Table1[[#Headers],[{{TIME}}]],Table1[[#This Row],[{{TIME}}]],TEXT_REPLACE(Table1[[#Headers],[{{MYNAME}}]],Table1[[#This Row],[{{MYNAME}}]],TEXT_REPLACE(Table1[[#Headers],[{{FRIEND}}]], Table1[[#This Row],[{{FRIEND}}]],$B$3)))</f>
        <v>Hi Mo,
its Teddy; would you like 
to go for dinner at wendys'?</v>
      </c>
      <c r="E9" s="6"/>
    </row>
  </sheetData>
  <mergeCells count="2">
    <mergeCell ref="B3:D3"/>
    <mergeCell ref="E7:E9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7400A-B375-416B-B4C6-E62B85716F3F}">
  <sheetPr codeName="Sheet2"/>
  <dimension ref="A3:G14"/>
  <sheetViews>
    <sheetView topLeftCell="A2" zoomScale="130" zoomScaleNormal="130" workbookViewId="0">
      <selection activeCell="C6" sqref="C6"/>
    </sheetView>
  </sheetViews>
  <sheetFormatPr defaultRowHeight="18.600000000000001" x14ac:dyDescent="0.4"/>
  <cols>
    <col min="2" max="4" width="9.140625" customWidth="1"/>
    <col min="5" max="5" width="9.2109375" customWidth="1"/>
    <col min="6" max="6" width="10.5" customWidth="1"/>
  </cols>
  <sheetData>
    <row r="3" spans="1:7" x14ac:dyDescent="0.4">
      <c r="A3" t="s">
        <v>16</v>
      </c>
      <c r="B3" t="s">
        <v>18</v>
      </c>
      <c r="C3" t="s">
        <v>19</v>
      </c>
      <c r="D3" t="s">
        <v>20</v>
      </c>
      <c r="E3" t="s">
        <v>21</v>
      </c>
      <c r="F3" t="s">
        <v>17</v>
      </c>
      <c r="G3" t="s">
        <v>22</v>
      </c>
    </row>
    <row r="4" spans="1:7" x14ac:dyDescent="0.4">
      <c r="A4">
        <v>12</v>
      </c>
      <c r="B4" s="10">
        <f>SUM(A4:A1048576)</f>
        <v>92</v>
      </c>
      <c r="C4" s="10" cm="1">
        <f t="array" ref="C4">_xlfn.REDUCE(A4,A5:A1048576, _xlfn.LAMBDA(_xlpm.acc,_xlpm.x, _xlpm.acc-_xlpm.x))</f>
        <v>-68</v>
      </c>
      <c r="D4" s="10">
        <f>PRODUCT(A4:A1048576)</f>
        <v>66912</v>
      </c>
      <c r="E4" s="10" cm="1">
        <f t="array" ref="E4">_xlfn.REDUCE(A4,A5:A1048576, _xlfn.LAMBDA(_xlpm.acc,_xlpm.x, _xlpm.acc/IF(ISBLANK(_xlpm.x),1,_xlpm.x)))</f>
        <v>2.1520803443328554E-3</v>
      </c>
      <c r="F4" s="5" t="s">
        <v>19</v>
      </c>
      <c r="G4" cm="1">
        <f t="array" ref="G4">_xlfn.SWITCH(F4,B3,B4,C3,C4,D3,D4,E3,E4,"operation not found")</f>
        <v>-68</v>
      </c>
    </row>
    <row r="5" spans="1:7" x14ac:dyDescent="0.4">
      <c r="A5">
        <v>34</v>
      </c>
    </row>
    <row r="6" spans="1:7" x14ac:dyDescent="0.4">
      <c r="A6">
        <v>41</v>
      </c>
    </row>
    <row r="7" spans="1:7" x14ac:dyDescent="0.4">
      <c r="A7">
        <v>4</v>
      </c>
    </row>
    <row r="8" spans="1:7" x14ac:dyDescent="0.4">
      <c r="A8">
        <v>1</v>
      </c>
    </row>
    <row r="10" spans="1:7" x14ac:dyDescent="0.4">
      <c r="B10" s="11" t="s">
        <v>55</v>
      </c>
    </row>
    <row r="11" spans="1:7" x14ac:dyDescent="0.4">
      <c r="B11" s="11" t="s">
        <v>56</v>
      </c>
    </row>
    <row r="12" spans="1:7" x14ac:dyDescent="0.4">
      <c r="B12" s="11" t="s">
        <v>57</v>
      </c>
    </row>
    <row r="13" spans="1:7" x14ac:dyDescent="0.4">
      <c r="B13" s="11" t="s">
        <v>58</v>
      </c>
    </row>
    <row r="14" spans="1:7" x14ac:dyDescent="0.4">
      <c r="B14" s="11" t="s">
        <v>59</v>
      </c>
    </row>
  </sheetData>
  <conditionalFormatting sqref="A4:A1048576">
    <cfRule type="notContainsBlanks" dxfId="2" priority="1">
      <formula>LEN(TRIM(A4))&gt;0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CAFAD-7B05-44A4-B43A-586F5608133A}">
  <sheetPr codeName="Sheet3"/>
  <dimension ref="A1:G19"/>
  <sheetViews>
    <sheetView zoomScale="85" zoomScaleNormal="85" workbookViewId="0">
      <selection activeCell="C3" sqref="C3"/>
    </sheetView>
  </sheetViews>
  <sheetFormatPr defaultRowHeight="18.600000000000001" x14ac:dyDescent="0.4"/>
  <cols>
    <col min="1" max="1" width="16.5703125" customWidth="1"/>
    <col min="2" max="2" width="29.92578125" customWidth="1"/>
    <col min="3" max="3" width="4.7109375" customWidth="1"/>
    <col min="4" max="4" width="31.5" customWidth="1"/>
  </cols>
  <sheetData>
    <row r="1" spans="1:7" x14ac:dyDescent="0.4">
      <c r="A1" t="s">
        <v>23</v>
      </c>
      <c r="B1" s="5" t="s">
        <v>24</v>
      </c>
      <c r="C1" s="5"/>
      <c r="E1" t="s">
        <v>25</v>
      </c>
      <c r="F1" t="s">
        <v>26</v>
      </c>
      <c r="G1" t="s">
        <v>27</v>
      </c>
    </row>
    <row r="2" spans="1:7" x14ac:dyDescent="0.4">
      <c r="A2" t="str" cm="1">
        <f t="array" aca="1" ref="A2:A12" ca="1">LIST_FILES(B1)</f>
        <v>C:\Users\faebl\OneDrive\uni\algorithmic_profiling_of_job_seekers_in_austria.pdf</v>
      </c>
      <c r="E2" t="str" cm="1">
        <f t="array" aca="1" ref="E2:E5" ca="1">_xlfn._xlws.FILTER(_xlfn.ANCHORARRAY(A2), _xlfn.SWITCH(RIGHT(_xlfn.ANCHORARRAY(A2),4),"xlsm",TRUE,"xlsx",TRUE,FALSE))</f>
        <v>C:\Users\faebl\OneDrive\uni\exercises_bakkA.xlsm</v>
      </c>
      <c r="F2" t="str" cm="1">
        <f t="array" aca="1" ref="F2:F4" ca="1">_xlfn._xlws.FILTER(_xlfn.ANCHORARRAY(A2), _xlfn.SWITCH(RIGHT(_xlfn.ANCHORARRAY(A2),3),"pdf",TRUE,FALSE))</f>
        <v>C:\Users\faebl\OneDrive\uni\algorithmic_profiling_of_job_seekers_in_austria.pdf</v>
      </c>
      <c r="G2" t="str" cm="1">
        <f t="array" aca="1" ref="G2:G5" ca="1">_xlfn._xlws.FILTER(_xlfn.ANCHORARRAY(A2), _xlfn.SWITCH(RIGHT(_xlfn.ANCHORARRAY(A2),3),"txt",TRUE,".md",TRUE,FALSE))</f>
        <v>C:\Users\faebl\OneDrive\uni\dui_notes.txt</v>
      </c>
    </row>
    <row r="3" spans="1:7" x14ac:dyDescent="0.4">
      <c r="A3" t="str">
        <f ca="1"/>
        <v>C:\Users\faebl\OneDrive\uni\Das_AMS-Arbeitsmarktchancen-Modell.pdf</v>
      </c>
      <c r="E3" t="str">
        <f ca="1"/>
        <v>C:\Users\faebl\OneDrive\uni\exercises_bakkA.xlsx</v>
      </c>
      <c r="F3" t="str">
        <f ca="1"/>
        <v>C:\Users\faebl\OneDrive\uni\Das_AMS-Arbeitsmarktchancen-Modell.pdf</v>
      </c>
      <c r="G3" t="str">
        <f ca="1"/>
        <v>C:\Users\faebl\OneDrive\uni\notes_on_DUI_paper.md</v>
      </c>
    </row>
    <row r="4" spans="1:7" x14ac:dyDescent="0.4">
      <c r="A4" t="str">
        <f ca="1"/>
        <v>C:\Users\faebl\OneDrive\uni\dui_notes.txt</v>
      </c>
      <c r="E4" t="str">
        <f ca="1"/>
        <v>C:\Users\faebl\OneDrive\uni\exercises_publish.xlsm</v>
      </c>
      <c r="F4" t="str">
        <f ca="1"/>
        <v>C:\Users\faebl\OneDrive\uni\rebuttal.pdf</v>
      </c>
      <c r="G4" t="str">
        <f ca="1"/>
        <v>C:\Users\faebl\OneDrive\uni\notes_on_DUI_paper.txt</v>
      </c>
    </row>
    <row r="5" spans="1:7" x14ac:dyDescent="0.4">
      <c r="A5" t="str">
        <f ca="1"/>
        <v>C:\Users\faebl\OneDrive\uni\exercises_bakkA.xlsm</v>
      </c>
      <c r="E5" t="str">
        <f ca="1"/>
        <v>C:\Users\faebl\OneDrive\uni\zinseszins.xlsx</v>
      </c>
      <c r="G5" t="str">
        <f ca="1"/>
        <v>C:\Users\faebl\OneDrive\uni\Zinssaetze.txt</v>
      </c>
    </row>
    <row r="6" spans="1:7" x14ac:dyDescent="0.4">
      <c r="A6" t="str">
        <f ca="1"/>
        <v>C:\Users\faebl\OneDrive\uni\exercises_bakkA.xlsx</v>
      </c>
    </row>
    <row r="7" spans="1:7" x14ac:dyDescent="0.4">
      <c r="A7" t="str">
        <f ca="1"/>
        <v>C:\Users\faebl\OneDrive\uni\exercises_publish.xlsm</v>
      </c>
      <c r="E7" t="s">
        <v>61</v>
      </c>
    </row>
    <row r="8" spans="1:7" x14ac:dyDescent="0.4">
      <c r="A8" t="str">
        <f ca="1"/>
        <v>C:\Users\faebl\OneDrive\uni\notes_on_DUI_paper.md</v>
      </c>
    </row>
    <row r="9" spans="1:7" x14ac:dyDescent="0.4">
      <c r="A9" t="str">
        <f ca="1"/>
        <v>C:\Users\faebl\OneDrive\uni\notes_on_DUI_paper.txt</v>
      </c>
    </row>
    <row r="10" spans="1:7" x14ac:dyDescent="0.4">
      <c r="A10" t="str">
        <f ca="1"/>
        <v>C:\Users\faebl\OneDrive\uni\rebuttal.pdf</v>
      </c>
    </row>
    <row r="11" spans="1:7" x14ac:dyDescent="0.4">
      <c r="A11" t="str">
        <f ca="1"/>
        <v>C:\Users\faebl\OneDrive\uni\zinseszins.xlsx</v>
      </c>
    </row>
    <row r="12" spans="1:7" x14ac:dyDescent="0.4">
      <c r="A12" t="str">
        <f ca="1"/>
        <v>C:\Users\faebl\OneDrive\uni\Zinssaetze.txt</v>
      </c>
    </row>
    <row r="13" spans="1:7" x14ac:dyDescent="0.4">
      <c r="A13" s="11" t="s">
        <v>60</v>
      </c>
    </row>
    <row r="15" spans="1:7" x14ac:dyDescent="0.4">
      <c r="A15" t="s">
        <v>29</v>
      </c>
      <c r="B15" s="5" t="s">
        <v>28</v>
      </c>
      <c r="C15" t="s">
        <v>30</v>
      </c>
      <c r="D15" s="5" t="str">
        <f>"C:\Users\faebl\OneDrive\"&amp;B15&amp;"s"</f>
        <v>C:\Users\faebl\OneDrive\excels</v>
      </c>
    </row>
    <row r="16" spans="1:7" x14ac:dyDescent="0.4">
      <c r="A16" t="str" cm="1">
        <f t="array" aca="1" ref="A16:A19" ca="1">"mv """ &amp; _xlfn.SWITCH(LOWER($B$15),"excel",_xlfn.ANCHORARRAY(E2),"pdf",_xlfn.ANCHORARRAY(F2),"txt",_xlfn.ANCHORARRAY(G2),"not found") &amp; """ """&amp;$D$15&amp;"\"""</f>
        <v>mv "C:\Users\faebl\OneDrive\uni\exercises_bakkA.xlsm" "C:\Users\faebl\OneDrive\excels\"</v>
      </c>
    </row>
    <row r="17" spans="1:1" x14ac:dyDescent="0.4">
      <c r="A17" t="str">
        <f ca="1"/>
        <v>mv "C:\Users\faebl\OneDrive\uni\exercises_bakkA.xlsx" "C:\Users\faebl\OneDrive\excels\"</v>
      </c>
    </row>
    <row r="18" spans="1:1" x14ac:dyDescent="0.4">
      <c r="A18" t="str">
        <f ca="1"/>
        <v>mv "C:\Users\faebl\OneDrive\uni\exercises_publish.xlsm" "C:\Users\faebl\OneDrive\excels\"</v>
      </c>
    </row>
    <row r="19" spans="1:1" x14ac:dyDescent="0.4">
      <c r="A19" t="str">
        <f ca="1"/>
        <v>mv "C:\Users\faebl\OneDrive\uni\zinseszins.xlsx" "C:\Users\faebl\OneDrive\excels\"</v>
      </c>
    </row>
  </sheetData>
  <pageMargins left="0.7" right="0.7" top="0.75" bottom="0.75" header="0.3" footer="0.3"/>
  <ignoredErrors>
    <ignoredError sqref="A2" evalError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3472-C933-4790-BB3B-03A67DEA4CA8}">
  <sheetPr codeName="Sheet5"/>
  <dimension ref="A1:C9"/>
  <sheetViews>
    <sheetView zoomScale="115" zoomScaleNormal="115" workbookViewId="0">
      <selection activeCell="C5" sqref="C5"/>
    </sheetView>
  </sheetViews>
  <sheetFormatPr defaultRowHeight="18.600000000000001" x14ac:dyDescent="0.4"/>
  <cols>
    <col min="1" max="1" width="14.85546875" bestFit="1" customWidth="1"/>
    <col min="2" max="2" width="11.78515625" bestFit="1" customWidth="1"/>
    <col min="3" max="3" width="17.92578125" bestFit="1" customWidth="1"/>
  </cols>
  <sheetData>
    <row r="1" spans="1:3" x14ac:dyDescent="0.4">
      <c r="A1" t="s">
        <v>40</v>
      </c>
      <c r="B1" t="s">
        <v>41</v>
      </c>
      <c r="C1" t="s">
        <v>42</v>
      </c>
    </row>
    <row r="2" spans="1:3" x14ac:dyDescent="0.4">
      <c r="A2" t="s">
        <v>31</v>
      </c>
      <c r="B2" t="s">
        <v>32</v>
      </c>
      <c r="C2" t="s">
        <v>33</v>
      </c>
    </row>
    <row r="3" spans="1:3" x14ac:dyDescent="0.4">
      <c r="A3" t="s">
        <v>34</v>
      </c>
      <c r="B3" t="s">
        <v>35</v>
      </c>
      <c r="C3" t="s">
        <v>36</v>
      </c>
    </row>
    <row r="4" spans="1:3" x14ac:dyDescent="0.4">
      <c r="A4" t="s">
        <v>37</v>
      </c>
      <c r="B4" t="s">
        <v>38</v>
      </c>
      <c r="C4" t="s">
        <v>39</v>
      </c>
    </row>
    <row r="7" spans="1:3" x14ac:dyDescent="0.4">
      <c r="A7" t="s">
        <v>43</v>
      </c>
      <c r="B7" s="5" t="s">
        <v>44</v>
      </c>
    </row>
    <row r="8" spans="1:3" x14ac:dyDescent="0.4">
      <c r="A8" t="str" cm="1">
        <f t="array" ref="A8:A9">_xlfn._xlws.FILTER(Table2[Song],_xlfn.MAP(Table2[Tags],_xlfn.LAMBDA(_xlpm.song, OR(_xlfn.MAP(_xlfn.TEXTSPLIT(_xlpm.song,","),_xlfn.LAMBDA(_xlpm.tag,_xlpm.tag=$B$7)
                               )
                           )
                  )
           )
        )</f>
        <v>Svitjod</v>
      </c>
      <c r="B8" s="11" t="s">
        <v>62</v>
      </c>
    </row>
    <row r="9" spans="1:3" x14ac:dyDescent="0.4">
      <c r="A9" t="str">
        <v>Over the hills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7549-40D4-4AB9-B55B-4693D95671BD}">
  <sheetPr codeName="Sheet6"/>
  <dimension ref="A1:F18"/>
  <sheetViews>
    <sheetView zoomScale="110" zoomScaleNormal="110" workbookViewId="0">
      <selection activeCell="H3" sqref="H3"/>
    </sheetView>
  </sheetViews>
  <sheetFormatPr defaultRowHeight="18.600000000000001" x14ac:dyDescent="0.4"/>
  <cols>
    <col min="4" max="4" width="13.85546875" bestFit="1" customWidth="1"/>
    <col min="6" max="6" width="39.28515625" customWidth="1"/>
  </cols>
  <sheetData>
    <row r="1" spans="1:6" x14ac:dyDescent="0.4">
      <c r="A1" t="s">
        <v>51</v>
      </c>
      <c r="B1" t="s">
        <v>52</v>
      </c>
      <c r="D1" t="s">
        <v>53</v>
      </c>
    </row>
    <row r="2" spans="1:6" ht="18.600000000000001" customHeight="1" x14ac:dyDescent="0.4">
      <c r="A2" t="s">
        <v>45</v>
      </c>
      <c r="B2" t="s">
        <v>48</v>
      </c>
      <c r="D2" t="str" cm="1">
        <f t="array" ref="D2:D7">CONCAT_RANGES(A2:A4,B2:B4)</f>
        <v>a</v>
      </c>
      <c r="F2" s="12"/>
    </row>
    <row r="3" spans="1:6" x14ac:dyDescent="0.4">
      <c r="A3" t="s">
        <v>46</v>
      </c>
      <c r="B3" t="s">
        <v>49</v>
      </c>
      <c r="D3" t="str">
        <v>d</v>
      </c>
      <c r="F3" s="13"/>
    </row>
    <row r="4" spans="1:6" x14ac:dyDescent="0.4">
      <c r="A4" t="s">
        <v>47</v>
      </c>
      <c r="B4" t="s">
        <v>50</v>
      </c>
      <c r="D4" t="str">
        <v>b</v>
      </c>
      <c r="F4" s="13"/>
    </row>
    <row r="5" spans="1:6" x14ac:dyDescent="0.4">
      <c r="D5" t="str">
        <v>e</v>
      </c>
      <c r="E5" t="s">
        <v>63</v>
      </c>
      <c r="F5" s="13"/>
    </row>
    <row r="6" spans="1:6" x14ac:dyDescent="0.4">
      <c r="D6" t="str">
        <v>c</v>
      </c>
      <c r="F6" s="13"/>
    </row>
    <row r="7" spans="1:6" x14ac:dyDescent="0.4">
      <c r="D7" t="str">
        <v>f</v>
      </c>
      <c r="F7" s="13"/>
    </row>
    <row r="8" spans="1:6" x14ac:dyDescent="0.4">
      <c r="F8" s="13"/>
    </row>
    <row r="9" spans="1:6" x14ac:dyDescent="0.4">
      <c r="F9" s="13"/>
    </row>
    <row r="10" spans="1:6" x14ac:dyDescent="0.4">
      <c r="F10" s="13"/>
    </row>
    <row r="11" spans="1:6" ht="18.600000000000001" customHeight="1" x14ac:dyDescent="0.4">
      <c r="B11" s="14" t="s">
        <v>64</v>
      </c>
      <c r="C11" s="14"/>
      <c r="D11" s="14"/>
      <c r="F11" s="13"/>
    </row>
    <row r="12" spans="1:6" x14ac:dyDescent="0.4">
      <c r="B12" s="14"/>
      <c r="C12" s="14"/>
      <c r="D12" s="14"/>
      <c r="F12" s="13"/>
    </row>
    <row r="13" spans="1:6" x14ac:dyDescent="0.4">
      <c r="B13" s="14"/>
      <c r="C13" s="14"/>
      <c r="D13" s="14"/>
      <c r="F13" s="13"/>
    </row>
    <row r="14" spans="1:6" x14ac:dyDescent="0.4">
      <c r="B14" s="14"/>
      <c r="C14" s="14"/>
      <c r="D14" s="14"/>
    </row>
    <row r="15" spans="1:6" x14ac:dyDescent="0.4">
      <c r="B15" s="14"/>
      <c r="C15" s="14"/>
      <c r="D15" s="14"/>
    </row>
    <row r="16" spans="1:6" x14ac:dyDescent="0.4">
      <c r="B16" s="14"/>
      <c r="C16" s="14"/>
      <c r="D16" s="14"/>
    </row>
    <row r="17" spans="2:4" x14ac:dyDescent="0.4">
      <c r="B17" s="14"/>
      <c r="C17" s="14"/>
      <c r="D17" s="14"/>
    </row>
    <row r="18" spans="2:4" x14ac:dyDescent="0.4">
      <c r="B18" s="14"/>
      <c r="C18" s="14"/>
      <c r="D18" s="14"/>
    </row>
  </sheetData>
  <mergeCells count="1">
    <mergeCell ref="B11:D1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F21F-0C2C-45F9-9B45-5EE09E9172B5}">
  <sheetPr codeName="Sheet7"/>
  <dimension ref="A1:E28"/>
  <sheetViews>
    <sheetView workbookViewId="0">
      <selection activeCell="G22" sqref="G22"/>
    </sheetView>
  </sheetViews>
  <sheetFormatPr defaultRowHeight="18.600000000000001" x14ac:dyDescent="0.4"/>
  <cols>
    <col min="4" max="4" width="63" customWidth="1"/>
    <col min="5" max="5" width="34.92578125" customWidth="1"/>
  </cols>
  <sheetData>
    <row r="1" spans="1:5" ht="18.600000000000001" customHeight="1" x14ac:dyDescent="0.4">
      <c r="A1" cm="1">
        <f t="array" ref="A1:A5">_xlfn.SEQUENCE(5)</f>
        <v>1</v>
      </c>
      <c r="B1" cm="1">
        <f t="array" ref="B1">Y_COMB(_xlfn.LAMBDA(_xlpm.recurse,
        _xlfn.LAMBDA(_xlpm.x,
              IF(_xlpm.x=0                  +N("then"),
                    1                 +N("base case, else"),
                    _xlpm.x*_xlpm.recurse(_xlpm.x-1)    +N("recursive case")
              )
        ))
)(A1)</f>
        <v>1</v>
      </c>
      <c r="C1" s="11" t="s">
        <v>65</v>
      </c>
      <c r="D1" s="8"/>
      <c r="E1" s="7"/>
    </row>
    <row r="2" spans="1:5" x14ac:dyDescent="0.4">
      <c r="A2">
        <v>2</v>
      </c>
      <c r="B2" cm="1">
        <f t="array" ref="B2">Y_COMB(_xlfn.LAMBDA(_xlpm.recurse,
        _xlfn.LAMBDA(_xlpm.x,
              IF(_xlpm.x=0                  +N("then"),
                    1                 +N("base case, else"),
                    _xlpm.x*_xlpm.recurse(_xlpm.x-1)    +N("recursive case")
              )
        ))
)(A2)</f>
        <v>2</v>
      </c>
      <c r="D2" s="8"/>
      <c r="E2" s="7"/>
    </row>
    <row r="3" spans="1:5" x14ac:dyDescent="0.4">
      <c r="A3">
        <v>3</v>
      </c>
      <c r="B3" cm="1">
        <f t="array" ref="B3">Y_COMB(_xlfn.LAMBDA(_xlpm.recurse,
        _xlfn.LAMBDA(_xlpm.x,
              IF(_xlpm.x=0                  +N("then"),
                    1                 +N("base case, else"),
                    _xlpm.x*_xlpm.recurse(_xlpm.x-1)    +N("recursive case")
              )
        ))
)(A3)</f>
        <v>6</v>
      </c>
      <c r="D3" s="8"/>
      <c r="E3" s="7"/>
    </row>
    <row r="4" spans="1:5" x14ac:dyDescent="0.4">
      <c r="A4">
        <v>4</v>
      </c>
      <c r="B4" cm="1">
        <f t="array" ref="B4">Y_COMB(_xlfn.LAMBDA(_xlpm.recurse,
        _xlfn.LAMBDA(_xlpm.x,
              IF(_xlpm.x=0                  +N("then"),
                    1                 +N("base case, else"),
                    _xlpm.x*_xlpm.recurse(_xlpm.x-1)    +N("recursive case")
              )
        ))
)(A4)</f>
        <v>24</v>
      </c>
      <c r="D4" s="8"/>
      <c r="E4" s="7"/>
    </row>
    <row r="5" spans="1:5" x14ac:dyDescent="0.4">
      <c r="A5">
        <v>5</v>
      </c>
      <c r="B5" cm="1">
        <f t="array" ref="B5">Y_COMB(_xlfn.LAMBDA(_xlpm.recurse,
        _xlfn.LAMBDA(_xlpm.x,
              IF(_xlpm.x=0                  +N("then"),
                    1                 +N("base case, else"),
                    _xlpm.x*_xlpm.recurse(_xlpm.x-1)    +N("recursive case")
              )
        ))
)(A5)</f>
        <v>120</v>
      </c>
      <c r="D5" s="8"/>
      <c r="E5" s="7"/>
    </row>
    <row r="6" spans="1:5" x14ac:dyDescent="0.4">
      <c r="D6" s="8"/>
      <c r="E6" s="7"/>
    </row>
    <row r="7" spans="1:5" x14ac:dyDescent="0.4">
      <c r="D7" s="8"/>
      <c r="E7" s="7"/>
    </row>
    <row r="8" spans="1:5" x14ac:dyDescent="0.4">
      <c r="D8" s="8"/>
      <c r="E8" s="7"/>
    </row>
    <row r="9" spans="1:5" x14ac:dyDescent="0.4">
      <c r="D9" s="8"/>
      <c r="E9" s="7"/>
    </row>
    <row r="10" spans="1:5" x14ac:dyDescent="0.4">
      <c r="D10" s="8"/>
      <c r="E10" s="7"/>
    </row>
    <row r="11" spans="1:5" x14ac:dyDescent="0.4">
      <c r="D11" s="8"/>
      <c r="E11" s="7"/>
    </row>
    <row r="12" spans="1:5" x14ac:dyDescent="0.4">
      <c r="D12" s="8"/>
      <c r="E12" s="7"/>
    </row>
    <row r="13" spans="1:5" x14ac:dyDescent="0.4">
      <c r="D13" s="8"/>
      <c r="E13" s="7"/>
    </row>
    <row r="14" spans="1:5" x14ac:dyDescent="0.4">
      <c r="D14" s="8"/>
      <c r="E14" s="7"/>
    </row>
    <row r="15" spans="1:5" ht="18.600000000000001" customHeight="1" x14ac:dyDescent="0.4">
      <c r="D15" s="16" t="s">
        <v>66</v>
      </c>
      <c r="E15" s="15" t="s">
        <v>54</v>
      </c>
    </row>
    <row r="16" spans="1:5" x14ac:dyDescent="0.4">
      <c r="D16" s="16"/>
      <c r="E16" s="15"/>
    </row>
    <row r="17" spans="4:4" x14ac:dyDescent="0.4">
      <c r="D17" s="16"/>
    </row>
    <row r="18" spans="4:4" x14ac:dyDescent="0.4">
      <c r="D18" s="16"/>
    </row>
    <row r="19" spans="4:4" x14ac:dyDescent="0.4">
      <c r="D19" s="16"/>
    </row>
    <row r="20" spans="4:4" x14ac:dyDescent="0.4">
      <c r="D20" s="16"/>
    </row>
    <row r="21" spans="4:4" x14ac:dyDescent="0.4">
      <c r="D21" s="16"/>
    </row>
    <row r="22" spans="4:4" x14ac:dyDescent="0.4">
      <c r="D22" s="17"/>
    </row>
    <row r="23" spans="4:4" x14ac:dyDescent="0.4">
      <c r="D23" s="17"/>
    </row>
    <row r="24" spans="4:4" x14ac:dyDescent="0.4">
      <c r="D24" s="17"/>
    </row>
    <row r="25" spans="4:4" x14ac:dyDescent="0.4">
      <c r="D25" s="17"/>
    </row>
    <row r="26" spans="4:4" x14ac:dyDescent="0.4">
      <c r="D26" s="17"/>
    </row>
    <row r="27" spans="4:4" x14ac:dyDescent="0.4">
      <c r="D27" s="17"/>
    </row>
    <row r="28" spans="4:4" x14ac:dyDescent="0.4">
      <c r="D28" s="17"/>
    </row>
  </sheetData>
  <mergeCells count="3">
    <mergeCell ref="E1:E14"/>
    <mergeCell ref="D1:D14"/>
    <mergeCell ref="D15:D2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08E5-DC88-4AC4-A27E-D33E1F0DBB50}">
  <dimension ref="A1:C299"/>
  <sheetViews>
    <sheetView workbookViewId="0">
      <selection activeCell="C2" sqref="C2"/>
    </sheetView>
  </sheetViews>
  <sheetFormatPr defaultRowHeight="18.600000000000001" x14ac:dyDescent="0.4"/>
  <cols>
    <col min="1" max="1" width="69.28515625" bestFit="1" customWidth="1"/>
    <col min="2" max="2" width="18.35546875" customWidth="1"/>
    <col min="3" max="3" width="14.5" customWidth="1"/>
  </cols>
  <sheetData>
    <row r="1" spans="1:3" x14ac:dyDescent="0.4">
      <c r="A1" t="s">
        <v>67</v>
      </c>
      <c r="B1" t="s">
        <v>135</v>
      </c>
      <c r="C1" t="s">
        <v>136</v>
      </c>
    </row>
    <row r="2" spans="1:3" x14ac:dyDescent="0.4">
      <c r="A2" t="s">
        <v>68</v>
      </c>
      <c r="B2" t="str" cm="1">
        <f t="array" ref="B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" t="str">
        <f>"cabal get -d outputDir " &amp; plan[[#This Row],[Cleaned Output]]</f>
        <v>cabal get -d outputDir base-4.12.0.0</v>
      </c>
    </row>
    <row r="3" spans="1:3" x14ac:dyDescent="0.4">
      <c r="A3" t="s">
        <v>69</v>
      </c>
      <c r="B3" t="str" cm="1">
        <f t="array" ref="B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stm-2.5.0.0</v>
      </c>
      <c r="C3" t="str">
        <f>"cabal get -d outputDir " &amp; plan[[#This Row],[Cleaned Output]]</f>
        <v>cabal get -d outputDir stm-2.5.0.0</v>
      </c>
    </row>
    <row r="4" spans="1:3" x14ac:dyDescent="0.4">
      <c r="A4" t="s">
        <v>70</v>
      </c>
      <c r="B4" t="str" cm="1">
        <f t="array" ref="B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4" t="str">
        <f>"cabal get -d outputDir " &amp; plan[[#This Row],[Cleaned Output]]</f>
        <v>cabal get -d outputDir transformers-0.5.6.2</v>
      </c>
    </row>
    <row r="5" spans="1:3" x14ac:dyDescent="0.4">
      <c r="A5" t="s">
        <v>71</v>
      </c>
      <c r="B5" t="str" cm="1">
        <f t="array" ref="B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attoparsec-0.13.2.2</v>
      </c>
      <c r="C5" t="str">
        <f>"cabal get -d outputDir " &amp; plan[[#This Row],[Cleaned Output]]</f>
        <v>cabal get -d outputDir attoparsec-0.13.2.2</v>
      </c>
    </row>
    <row r="6" spans="1:3" x14ac:dyDescent="0.4">
      <c r="A6" t="s">
        <v>68</v>
      </c>
      <c r="B6" t="str" cm="1">
        <f t="array" ref="B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6" t="str">
        <f>"cabal get -d outputDir " &amp; plan[[#This Row],[Cleaned Output]]</f>
        <v>cabal get -d outputDir base-4.12.0.0</v>
      </c>
    </row>
    <row r="7" spans="1:3" x14ac:dyDescent="0.4">
      <c r="A7" t="s">
        <v>72</v>
      </c>
      <c r="B7" t="str" cm="1">
        <f t="array" ref="B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base-compat-0.12.2</v>
      </c>
      <c r="C7" t="str">
        <f>"cabal get -d outputDir " &amp; plan[[#This Row],[Cleaned Output]]</f>
        <v>cabal get -d outputDir base-compat-0.12.2</v>
      </c>
    </row>
    <row r="8" spans="1:3" x14ac:dyDescent="0.4">
      <c r="A8" t="s">
        <v>73</v>
      </c>
      <c r="B8" t="str" cm="1">
        <f t="array" ref="B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8" t="str">
        <f>"cabal get -d outputDir " &amp; plan[[#This Row],[Cleaned Output]]</f>
        <v>cabal get -d outputDir bytestring-0.10.8.2</v>
      </c>
    </row>
    <row r="9" spans="1:3" x14ac:dyDescent="0.4">
      <c r="A9" t="s">
        <v>74</v>
      </c>
      <c r="B9" t="str" cm="1">
        <f t="array" ref="B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9" t="str">
        <f>"cabal get -d outputDir " &amp; plan[[#This Row],[Cleaned Output]]</f>
        <v>cabal get -d outputDir containers-0.6.0.1</v>
      </c>
    </row>
    <row r="10" spans="1:3" x14ac:dyDescent="0.4">
      <c r="A10" t="s">
        <v>75</v>
      </c>
      <c r="B10" t="str" cm="1">
        <f t="array" ref="B1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10" t="str">
        <f>"cabal get -d outputDir " &amp; plan[[#This Row],[Cleaned Output]]</f>
        <v>cabal get -d outputDir deepseq-1.4.4.0</v>
      </c>
    </row>
    <row r="11" spans="1:3" x14ac:dyDescent="0.4">
      <c r="A11" t="s">
        <v>76</v>
      </c>
      <c r="B11" t="str" cm="1">
        <f t="array" ref="B1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dlist-0.8.0.8</v>
      </c>
      <c r="C11" t="str">
        <f>"cabal get -d outputDir " &amp; plan[[#This Row],[Cleaned Output]]</f>
        <v>cabal get -d outputDir dlist-0.8.0.8</v>
      </c>
    </row>
    <row r="12" spans="1:3" x14ac:dyDescent="0.4">
      <c r="A12" t="s">
        <v>77</v>
      </c>
      <c r="B12" t="str" cm="1">
        <f t="array" ref="B1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12" t="str">
        <f>"cabal get -d outputDir " &amp; plan[[#This Row],[Cleaned Output]]</f>
        <v>cabal get -d outputDir ghc-prim-0.5.3</v>
      </c>
    </row>
    <row r="13" spans="1:3" x14ac:dyDescent="0.4">
      <c r="A13" t="s">
        <v>78</v>
      </c>
      <c r="B13" t="str" cm="1">
        <f t="array" ref="B1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hashable-1.2.7.0</v>
      </c>
      <c r="C13" t="str">
        <f>"cabal get -d outputDir " &amp; plan[[#This Row],[Cleaned Output]]</f>
        <v>cabal get -d outputDir hashable-1.2.7.0</v>
      </c>
    </row>
    <row r="14" spans="1:3" x14ac:dyDescent="0.4">
      <c r="A14" t="s">
        <v>79</v>
      </c>
      <c r="B14" t="str" cm="1">
        <f t="array" ref="B1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primitive-0.6.4.0</v>
      </c>
      <c r="C14" t="str">
        <f>"cabal get -d outputDir " &amp; plan[[#This Row],[Cleaned Output]]</f>
        <v>cabal get -d outputDir primitive-0.6.4.0</v>
      </c>
    </row>
    <row r="15" spans="1:3" x14ac:dyDescent="0.4">
      <c r="A15" t="s">
        <v>80</v>
      </c>
      <c r="B15" t="str" cm="1">
        <f t="array" ref="B1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scientific-0.3.6.2</v>
      </c>
      <c r="C15" t="str">
        <f>"cabal get -d outputDir " &amp; plan[[#This Row],[Cleaned Output]]</f>
        <v>cabal get -d outputDir scientific-0.3.6.2</v>
      </c>
    </row>
    <row r="16" spans="1:3" x14ac:dyDescent="0.4">
      <c r="A16" t="s">
        <v>81</v>
      </c>
      <c r="B16" t="str" cm="1">
        <f t="array" ref="B1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tagged-0.8.6.1</v>
      </c>
      <c r="C16" t="str">
        <f>"cabal get -d outputDir " &amp; plan[[#This Row],[Cleaned Output]]</f>
        <v>cabal get -d outputDir tagged-0.8.6.1</v>
      </c>
    </row>
    <row r="17" spans="1:3" x14ac:dyDescent="0.4">
      <c r="A17" t="s">
        <v>82</v>
      </c>
      <c r="B17" t="str" cm="1">
        <f t="array" ref="B1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template-haskell-2.14.0.0</v>
      </c>
      <c r="C17" t="str">
        <f>"cabal get -d outputDir " &amp; plan[[#This Row],[Cleaned Output]]</f>
        <v>cabal get -d outputDir template-haskell-2.14.0.0</v>
      </c>
    </row>
    <row r="18" spans="1:3" x14ac:dyDescent="0.4">
      <c r="A18" t="s">
        <v>83</v>
      </c>
      <c r="B18" t="str" cm="1">
        <f t="array" ref="B1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18" t="str">
        <f>"cabal get -d outputDir " &amp; plan[[#This Row],[Cleaned Output]]</f>
        <v>cabal get -d outputDir text-1.2.3.1</v>
      </c>
    </row>
    <row r="19" spans="1:3" x14ac:dyDescent="0.4">
      <c r="A19" t="s">
        <v>84</v>
      </c>
      <c r="B19" t="str" cm="1">
        <f t="array" ref="B1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th-abstraction-0.4.5.0</v>
      </c>
      <c r="C19" t="str">
        <f>"cabal get -d outputDir " &amp; plan[[#This Row],[Cleaned Output]]</f>
        <v>cabal get -d outputDir th-abstraction-0.4.5.0</v>
      </c>
    </row>
    <row r="20" spans="1:3" x14ac:dyDescent="0.4">
      <c r="A20" t="s">
        <v>85</v>
      </c>
      <c r="B20" t="str" cm="1">
        <f t="array" ref="B2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time-1.8.0.2</v>
      </c>
      <c r="C20" t="str">
        <f>"cabal get -d outputDir " &amp; plan[[#This Row],[Cleaned Output]]</f>
        <v>cabal get -d outputDir time-1.8.0.2</v>
      </c>
    </row>
    <row r="21" spans="1:3" x14ac:dyDescent="0.4">
      <c r="A21" t="s">
        <v>86</v>
      </c>
      <c r="B21" t="str" cm="1">
        <f t="array" ref="B2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time-compat-1.9.5</v>
      </c>
      <c r="C21" t="str">
        <f>"cabal get -d outputDir " &amp; plan[[#This Row],[Cleaned Output]]</f>
        <v>cabal get -d outputDir time-compat-1.9.5</v>
      </c>
    </row>
    <row r="22" spans="1:3" x14ac:dyDescent="0.4">
      <c r="A22" t="s">
        <v>87</v>
      </c>
      <c r="B22" t="str" cm="1">
        <f t="array" ref="B2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unordered-containers-0.2.10.0</v>
      </c>
      <c r="C22" t="str">
        <f>"cabal get -d outputDir " &amp; plan[[#This Row],[Cleaned Output]]</f>
        <v>cabal get -d outputDir unordered-containers-0.2.10.0</v>
      </c>
    </row>
    <row r="23" spans="1:3" x14ac:dyDescent="0.4">
      <c r="A23" t="s">
        <v>88</v>
      </c>
      <c r="B23" t="str" cm="1">
        <f t="array" ref="B2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uuid-types-1.0.5</v>
      </c>
      <c r="C23" t="str">
        <f>"cabal get -d outputDir " &amp; plan[[#This Row],[Cleaned Output]]</f>
        <v>cabal get -d outputDir uuid-types-1.0.5</v>
      </c>
    </row>
    <row r="24" spans="1:3" x14ac:dyDescent="0.4">
      <c r="A24" t="s">
        <v>89</v>
      </c>
      <c r="B24" t="str" cm="1">
        <f t="array" ref="B2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vector-0.12.0.3</v>
      </c>
      <c r="C24" t="str">
        <f>"cabal get -d outputDir " &amp; plan[[#This Row],[Cleaned Output]]</f>
        <v>cabal get -d outputDir vector-0.12.0.3</v>
      </c>
    </row>
    <row r="25" spans="1:3" x14ac:dyDescent="0.4">
      <c r="A25" t="s">
        <v>68</v>
      </c>
      <c r="B25" t="str" cm="1">
        <f t="array" ref="B2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5" t="str">
        <f>"cabal get -d outputDir " &amp; plan[[#This Row],[Cleaned Output]]</f>
        <v>cabal get -d outputDir base-4.12.0.0</v>
      </c>
    </row>
    <row r="26" spans="1:3" x14ac:dyDescent="0.4">
      <c r="A26" t="s">
        <v>90</v>
      </c>
      <c r="B26" t="str" cm="1">
        <f t="array" ref="B2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colour-2.3.5</v>
      </c>
      <c r="C26" t="str">
        <f>"cabal get -d outputDir " &amp; plan[[#This Row],[Cleaned Output]]</f>
        <v>cabal get -d outputDir colour-2.3.5</v>
      </c>
    </row>
    <row r="27" spans="1:3" x14ac:dyDescent="0.4">
      <c r="A27" t="s">
        <v>91</v>
      </c>
      <c r="B27" t="str" cm="1">
        <f t="array" ref="B2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ansi-terminal-0.11.3</v>
      </c>
      <c r="C27" t="str">
        <f>"cabal get -d outputDir " &amp; plan[[#This Row],[Cleaned Output]]</f>
        <v>cabal get -d outputDir ansi-terminal-0.11.3</v>
      </c>
    </row>
    <row r="28" spans="1:3" x14ac:dyDescent="0.4">
      <c r="A28" t="s">
        <v>68</v>
      </c>
      <c r="B28" t="str" cm="1">
        <f t="array" ref="B2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8" t="str">
        <f>"cabal get -d outputDir " &amp; plan[[#This Row],[Cleaned Output]]</f>
        <v>cabal get -d outputDir base-4.12.0.0</v>
      </c>
    </row>
    <row r="29" spans="1:3" x14ac:dyDescent="0.4">
      <c r="A29" t="s">
        <v>68</v>
      </c>
      <c r="B29" t="str" cm="1">
        <f t="array" ref="B2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9" t="str">
        <f>"cabal get -d outputDir " &amp; plan[[#This Row],[Cleaned Output]]</f>
        <v>cabal get -d outputDir base-4.12.0.0</v>
      </c>
    </row>
    <row r="30" spans="1:3" x14ac:dyDescent="0.4">
      <c r="A30" t="s">
        <v>68</v>
      </c>
      <c r="B30" t="str" cm="1">
        <f t="array" ref="B3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30" t="str">
        <f>"cabal get -d outputDir " &amp; plan[[#This Row],[Cleaned Output]]</f>
        <v>cabal get -d outputDir base-4.12.0.0</v>
      </c>
    </row>
    <row r="31" spans="1:3" x14ac:dyDescent="0.4">
      <c r="A31" t="s">
        <v>78</v>
      </c>
      <c r="B31" t="str" cm="1">
        <f t="array" ref="B3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hashable-1.2.7.0</v>
      </c>
      <c r="C31" t="str">
        <f>"cabal get -d outputDir " &amp; plan[[#This Row],[Cleaned Output]]</f>
        <v>cabal get -d outputDir hashable-1.2.7.0</v>
      </c>
    </row>
    <row r="32" spans="1:3" x14ac:dyDescent="0.4">
      <c r="A32" t="s">
        <v>69</v>
      </c>
      <c r="B32" t="str" cm="1">
        <f t="array" ref="B3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stm-2.5.0.0</v>
      </c>
      <c r="C32" t="str">
        <f>"cabal get -d outputDir " &amp; plan[[#This Row],[Cleaned Output]]</f>
        <v>cabal get -d outputDir stm-2.5.0.0</v>
      </c>
    </row>
    <row r="33" spans="1:3" x14ac:dyDescent="0.4">
      <c r="A33" t="s">
        <v>92</v>
      </c>
      <c r="B33" t="str" cm="1">
        <f t="array" ref="B3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33" t="str">
        <f>"cabal get -d outputDir " &amp; plan[[#This Row],[Cleaned Output]]</f>
        <v>cabal get -d outputDir array-0.5.3.0</v>
      </c>
    </row>
    <row r="34" spans="1:3" x14ac:dyDescent="0.4">
      <c r="A34" t="s">
        <v>68</v>
      </c>
      <c r="B34" t="str" cm="1">
        <f t="array" ref="B3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34" t="str">
        <f>"cabal get -d outputDir " &amp; plan[[#This Row],[Cleaned Output]]</f>
        <v>cabal get -d outputDir base-4.12.0.0</v>
      </c>
    </row>
    <row r="35" spans="1:3" x14ac:dyDescent="0.4">
      <c r="A35" t="s">
        <v>73</v>
      </c>
      <c r="B35" t="str" cm="1">
        <f t="array" ref="B3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35" t="str">
        <f>"cabal get -d outputDir " &amp; plan[[#This Row],[Cleaned Output]]</f>
        <v>cabal get -d outputDir bytestring-0.10.8.2</v>
      </c>
    </row>
    <row r="36" spans="1:3" x14ac:dyDescent="0.4">
      <c r="A36" t="s">
        <v>74</v>
      </c>
      <c r="B36" t="str" cm="1">
        <f t="array" ref="B3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36" t="str">
        <f>"cabal get -d outputDir " &amp; plan[[#This Row],[Cleaned Output]]</f>
        <v>cabal get -d outputDir containers-0.6.0.1</v>
      </c>
    </row>
    <row r="37" spans="1:3" x14ac:dyDescent="0.4">
      <c r="A37" t="s">
        <v>75</v>
      </c>
      <c r="B37" t="str" cm="1">
        <f t="array" ref="B3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37" t="str">
        <f>"cabal get -d outputDir " &amp; plan[[#This Row],[Cleaned Output]]</f>
        <v>cabal get -d outputDir deepseq-1.4.4.0</v>
      </c>
    </row>
    <row r="38" spans="1:3" x14ac:dyDescent="0.4">
      <c r="A38" t="s">
        <v>80</v>
      </c>
      <c r="B38" t="str" cm="1">
        <f t="array" ref="B3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scientific-0.3.6.2</v>
      </c>
      <c r="C38" t="str">
        <f>"cabal get -d outputDir " &amp; plan[[#This Row],[Cleaned Output]]</f>
        <v>cabal get -d outputDir scientific-0.3.6.2</v>
      </c>
    </row>
    <row r="39" spans="1:3" x14ac:dyDescent="0.4">
      <c r="A39" t="s">
        <v>83</v>
      </c>
      <c r="B39" t="str" cm="1">
        <f t="array" ref="B3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39" t="str">
        <f>"cabal get -d outputDir " &amp; plan[[#This Row],[Cleaned Output]]</f>
        <v>cabal get -d outputDir text-1.2.3.1</v>
      </c>
    </row>
    <row r="40" spans="1:3" x14ac:dyDescent="0.4">
      <c r="A40" t="s">
        <v>70</v>
      </c>
      <c r="B40" t="str" cm="1">
        <f t="array" ref="B4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40" t="str">
        <f>"cabal get -d outputDir " &amp; plan[[#This Row],[Cleaned Output]]</f>
        <v>cabal get -d outputDir transformers-0.5.6.2</v>
      </c>
    </row>
    <row r="41" spans="1:3" x14ac:dyDescent="0.4">
      <c r="A41" t="s">
        <v>77</v>
      </c>
      <c r="B41" t="str" cm="1">
        <f t="array" ref="B4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41" t="str">
        <f>"cabal get -d outputDir " &amp; plan[[#This Row],[Cleaned Output]]</f>
        <v>cabal get -d outputDir ghc-prim-0.5.3</v>
      </c>
    </row>
    <row r="42" spans="1:3" x14ac:dyDescent="0.4">
      <c r="A42" t="s">
        <v>93</v>
      </c>
      <c r="B42" t="str" cm="1">
        <f t="array" ref="B4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integer-gmp-1.0.2.0</v>
      </c>
      <c r="C42" t="str">
        <f>"cabal get -d outputDir " &amp; plan[[#This Row],[Cleaned Output]]</f>
        <v>cabal get -d outputDir integer-gmp-1.0.2.0</v>
      </c>
    </row>
    <row r="43" spans="1:3" x14ac:dyDescent="0.4">
      <c r="A43" t="s">
        <v>94</v>
      </c>
      <c r="B43" t="str" cm="1">
        <f t="array" ref="B4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rts</v>
      </c>
      <c r="C43" t="str">
        <f>"cabal get -d outputDir " &amp; plan[[#This Row],[Cleaned Output]]</f>
        <v>cabal get -d outputDir rts</v>
      </c>
    </row>
    <row r="44" spans="1:3" x14ac:dyDescent="0.4">
      <c r="A44" t="s">
        <v>68</v>
      </c>
      <c r="B44" t="str" cm="1">
        <f t="array" ref="B4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44" t="str">
        <f>"cabal get -d outputDir " &amp; plan[[#This Row],[Cleaned Output]]</f>
        <v>cabal get -d outputDir base-4.12.0.0</v>
      </c>
    </row>
    <row r="45" spans="1:3" x14ac:dyDescent="0.4">
      <c r="A45" t="s">
        <v>77</v>
      </c>
      <c r="B45" t="str" cm="1">
        <f t="array" ref="B4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45" t="str">
        <f>"cabal get -d outputDir " &amp; plan[[#This Row],[Cleaned Output]]</f>
        <v>cabal get -d outputDir ghc-prim-0.5.3</v>
      </c>
    </row>
    <row r="46" spans="1:3" x14ac:dyDescent="0.4">
      <c r="A46" t="s">
        <v>95</v>
      </c>
      <c r="B46" t="str" cm="1">
        <f t="array" ref="B4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46" t="str">
        <f>"cabal get -d outputDir " &amp; plan[[#This Row],[Cleaned Output]]</f>
        <v>cabal get -d outputDir unix-2.7.2.2</v>
      </c>
    </row>
    <row r="47" spans="1:3" x14ac:dyDescent="0.4">
      <c r="A47" t="s">
        <v>68</v>
      </c>
      <c r="B47" t="str" cm="1">
        <f t="array" ref="B4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47" t="str">
        <f>"cabal get -d outputDir " &amp; plan[[#This Row],[Cleaned Output]]</f>
        <v>cabal get -d outputDir base-4.12.0.0</v>
      </c>
    </row>
    <row r="48" spans="1:3" x14ac:dyDescent="0.4">
      <c r="A48" t="s">
        <v>77</v>
      </c>
      <c r="B48" t="str" cm="1">
        <f t="array" ref="B4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48" t="str">
        <f>"cabal get -d outputDir " &amp; plan[[#This Row],[Cleaned Output]]</f>
        <v>cabal get -d outputDir ghc-prim-0.5.3</v>
      </c>
    </row>
    <row r="49" spans="1:3" x14ac:dyDescent="0.4">
      <c r="A49" t="s">
        <v>68</v>
      </c>
      <c r="B49" t="str" cm="1">
        <f t="array" ref="B4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49" t="str">
        <f>"cabal get -d outputDir " &amp; plan[[#This Row],[Cleaned Output]]</f>
        <v>cabal get -d outputDir base-4.12.0.0</v>
      </c>
    </row>
    <row r="50" spans="1:3" x14ac:dyDescent="0.4">
      <c r="A50" t="s">
        <v>96</v>
      </c>
      <c r="B50" t="str" cm="1">
        <f t="array" ref="B5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base-orphans-0.8.7</v>
      </c>
      <c r="C50" t="str">
        <f>"cabal get -d outputDir " &amp; plan[[#This Row],[Cleaned Output]]</f>
        <v>cabal get -d outputDir base-orphans-0.8.7</v>
      </c>
    </row>
    <row r="51" spans="1:3" x14ac:dyDescent="0.4">
      <c r="A51" t="s">
        <v>97</v>
      </c>
      <c r="B51" t="str" cm="1">
        <f t="array" ref="B5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comonad-5.0.8</v>
      </c>
      <c r="C51" t="str">
        <f>"cabal get -d outputDir " &amp; plan[[#This Row],[Cleaned Output]]</f>
        <v>cabal get -d outputDir comonad-5.0.8</v>
      </c>
    </row>
    <row r="52" spans="1:3" x14ac:dyDescent="0.4">
      <c r="A52" t="s">
        <v>74</v>
      </c>
      <c r="B52" t="str" cm="1">
        <f t="array" ref="B5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52" t="str">
        <f>"cabal get -d outputDir " &amp; plan[[#This Row],[Cleaned Output]]</f>
        <v>cabal get -d outputDir containers-0.6.0.1</v>
      </c>
    </row>
    <row r="53" spans="1:3" x14ac:dyDescent="0.4">
      <c r="A53" t="s">
        <v>81</v>
      </c>
      <c r="B53" t="str" cm="1">
        <f t="array" ref="B5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tagged-0.8.6.1</v>
      </c>
      <c r="C53" t="str">
        <f>"cabal get -d outputDir " &amp; plan[[#This Row],[Cleaned Output]]</f>
        <v>cabal get -d outputDir tagged-0.8.6.1</v>
      </c>
    </row>
    <row r="54" spans="1:3" x14ac:dyDescent="0.4">
      <c r="A54" t="s">
        <v>82</v>
      </c>
      <c r="B54" t="str" cm="1">
        <f t="array" ref="B5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template-haskell-2.14.0.0</v>
      </c>
      <c r="C54" t="str">
        <f>"cabal get -d outputDir " &amp; plan[[#This Row],[Cleaned Output]]</f>
        <v>cabal get -d outputDir template-haskell-2.14.0.0</v>
      </c>
    </row>
    <row r="55" spans="1:3" x14ac:dyDescent="0.4">
      <c r="A55" t="s">
        <v>84</v>
      </c>
      <c r="B55" t="str" cm="1">
        <f t="array" ref="B5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th-abstraction-0.4.5.0</v>
      </c>
      <c r="C55" t="str">
        <f>"cabal get -d outputDir " &amp; plan[[#This Row],[Cleaned Output]]</f>
        <v>cabal get -d outputDir th-abstraction-0.4.5.0</v>
      </c>
    </row>
    <row r="56" spans="1:3" x14ac:dyDescent="0.4">
      <c r="A56" t="s">
        <v>70</v>
      </c>
      <c r="B56" t="str" cm="1">
        <f t="array" ref="B5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56" t="str">
        <f>"cabal get -d outputDir " &amp; plan[[#This Row],[Cleaned Output]]</f>
        <v>cabal get -d outputDir transformers-0.5.6.2</v>
      </c>
    </row>
    <row r="57" spans="1:3" x14ac:dyDescent="0.4">
      <c r="A57" t="s">
        <v>92</v>
      </c>
      <c r="B57" t="str" cm="1">
        <f t="array" ref="B5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57" t="str">
        <f>"cabal get -d outputDir " &amp; plan[[#This Row],[Cleaned Output]]</f>
        <v>cabal get -d outputDir array-0.5.3.0</v>
      </c>
    </row>
    <row r="58" spans="1:3" x14ac:dyDescent="0.4">
      <c r="A58" t="s">
        <v>68</v>
      </c>
      <c r="B58" t="str" cm="1">
        <f t="array" ref="B5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58" t="str">
        <f>"cabal get -d outputDir " &amp; plan[[#This Row],[Cleaned Output]]</f>
        <v>cabal get -d outputDir base-4.12.0.0</v>
      </c>
    </row>
    <row r="59" spans="1:3" x14ac:dyDescent="0.4">
      <c r="A59" t="s">
        <v>73</v>
      </c>
      <c r="B59" t="str" cm="1">
        <f t="array" ref="B5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59" t="str">
        <f>"cabal get -d outputDir " &amp; plan[[#This Row],[Cleaned Output]]</f>
        <v>cabal get -d outputDir bytestring-0.10.8.2</v>
      </c>
    </row>
    <row r="60" spans="1:3" x14ac:dyDescent="0.4">
      <c r="A60" t="s">
        <v>74</v>
      </c>
      <c r="B60" t="str" cm="1">
        <f t="array" ref="B6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60" t="str">
        <f>"cabal get -d outputDir " &amp; plan[[#This Row],[Cleaned Output]]</f>
        <v>cabal get -d outputDir containers-0.6.0.1</v>
      </c>
    </row>
    <row r="61" spans="1:3" x14ac:dyDescent="0.4">
      <c r="A61" t="s">
        <v>68</v>
      </c>
      <c r="B61" t="str" cm="1">
        <f t="array" ref="B6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61" t="str">
        <f>"cabal get -d outputDir " &amp; plan[[#This Row],[Cleaned Output]]</f>
        <v>cabal get -d outputDir base-4.12.0.0</v>
      </c>
    </row>
    <row r="62" spans="1:3" x14ac:dyDescent="0.4">
      <c r="A62" t="s">
        <v>75</v>
      </c>
      <c r="B62" t="str" cm="1">
        <f t="array" ref="B6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62" t="str">
        <f>"cabal get -d outputDir " &amp; plan[[#This Row],[Cleaned Output]]</f>
        <v>cabal get -d outputDir deepseq-1.4.4.0</v>
      </c>
    </row>
    <row r="63" spans="1:3" x14ac:dyDescent="0.4">
      <c r="A63" t="s">
        <v>77</v>
      </c>
      <c r="B63" t="str" cm="1">
        <f t="array" ref="B6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63" t="str">
        <f>"cabal get -d outputDir " &amp; plan[[#This Row],[Cleaned Output]]</f>
        <v>cabal get -d outputDir ghc-prim-0.5.3</v>
      </c>
    </row>
    <row r="64" spans="1:3" x14ac:dyDescent="0.4">
      <c r="A64" t="s">
        <v>93</v>
      </c>
      <c r="B64" t="str" cm="1">
        <f t="array" ref="B6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integer-gmp-1.0.2.0</v>
      </c>
      <c r="C64" t="str">
        <f>"cabal get -d outputDir " &amp; plan[[#This Row],[Cleaned Output]]</f>
        <v>cabal get -d outputDir integer-gmp-1.0.2.0</v>
      </c>
    </row>
    <row r="65" spans="1:3" x14ac:dyDescent="0.4">
      <c r="A65" t="s">
        <v>68</v>
      </c>
      <c r="B65" t="str" cm="1">
        <f t="array" ref="B6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65" t="str">
        <f>"cabal get -d outputDir " &amp; plan[[#This Row],[Cleaned Output]]</f>
        <v>cabal get -d outputDir base-4.12.0.0</v>
      </c>
    </row>
    <row r="66" spans="1:3" x14ac:dyDescent="0.4">
      <c r="A66" t="s">
        <v>68</v>
      </c>
      <c r="B66" t="str" cm="1">
        <f t="array" ref="B6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66" t="str">
        <f>"cabal get -d outputDir " &amp; plan[[#This Row],[Cleaned Output]]</f>
        <v>cabal get -d outputDir base-4.12.0.0</v>
      </c>
    </row>
    <row r="67" spans="1:3" x14ac:dyDescent="0.4">
      <c r="A67" t="s">
        <v>68</v>
      </c>
      <c r="B67" t="str" cm="1">
        <f t="array" ref="B6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67" t="str">
        <f>"cabal get -d outputDir " &amp; plan[[#This Row],[Cleaned Output]]</f>
        <v>cabal get -d outputDir base-4.12.0.0</v>
      </c>
    </row>
    <row r="68" spans="1:3" x14ac:dyDescent="0.4">
      <c r="A68" t="s">
        <v>74</v>
      </c>
      <c r="B68" t="str" cm="1">
        <f t="array" ref="B6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68" t="str">
        <f>"cabal get -d outputDir " &amp; plan[[#This Row],[Cleaned Output]]</f>
        <v>cabal get -d outputDir containers-0.6.0.1</v>
      </c>
    </row>
    <row r="69" spans="1:3" x14ac:dyDescent="0.4">
      <c r="A69" t="s">
        <v>98</v>
      </c>
      <c r="B69" t="str" cm="1">
        <f t="array" ref="B6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distributive-0.6.2.1</v>
      </c>
      <c r="C69" t="str">
        <f>"cabal get -d outputDir " &amp; plan[[#This Row],[Cleaned Output]]</f>
        <v>cabal get -d outputDir distributive-0.6.2.1</v>
      </c>
    </row>
    <row r="70" spans="1:3" x14ac:dyDescent="0.4">
      <c r="A70" t="s">
        <v>99</v>
      </c>
      <c r="B70" t="str" cm="1">
        <f t="array" ref="B7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indexed-traversable-0.1.2</v>
      </c>
      <c r="C70" t="str">
        <f>"cabal get -d outputDir " &amp; plan[[#This Row],[Cleaned Output]]</f>
        <v>cabal get -d outputDir indexed-traversable-0.1.2</v>
      </c>
    </row>
    <row r="71" spans="1:3" x14ac:dyDescent="0.4">
      <c r="A71" t="s">
        <v>81</v>
      </c>
      <c r="B71" t="str" cm="1">
        <f t="array" ref="B7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tagged-0.8.6.1</v>
      </c>
      <c r="C71" t="str">
        <f>"cabal get -d outputDir " &amp; plan[[#This Row],[Cleaned Output]]</f>
        <v>cabal get -d outputDir tagged-0.8.6.1</v>
      </c>
    </row>
    <row r="72" spans="1:3" x14ac:dyDescent="0.4">
      <c r="A72" t="s">
        <v>70</v>
      </c>
      <c r="B72" t="str" cm="1">
        <f t="array" ref="B7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72" t="str">
        <f>"cabal get -d outputDir " &amp; plan[[#This Row],[Cleaned Output]]</f>
        <v>cabal get -d outputDir transformers-0.5.6.2</v>
      </c>
    </row>
    <row r="73" spans="1:3" x14ac:dyDescent="0.4">
      <c r="A73" t="s">
        <v>100</v>
      </c>
      <c r="B73" t="str" cm="1">
        <f t="array" ref="B7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transformers-compat-0.7.2</v>
      </c>
      <c r="C73" t="str">
        <f>"cabal get -d outputDir " &amp; plan[[#This Row],[Cleaned Output]]</f>
        <v>cabal get -d outputDir transformers-compat-0.7.2</v>
      </c>
    </row>
    <row r="74" spans="1:3" x14ac:dyDescent="0.4">
      <c r="A74" t="s">
        <v>92</v>
      </c>
      <c r="B74" t="str" cm="1">
        <f t="array" ref="B7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74" t="str">
        <f>"cabal get -d outputDir " &amp; plan[[#This Row],[Cleaned Output]]</f>
        <v>cabal get -d outputDir array-0.5.3.0</v>
      </c>
    </row>
    <row r="75" spans="1:3" x14ac:dyDescent="0.4">
      <c r="A75" t="s">
        <v>68</v>
      </c>
      <c r="B75" t="str" cm="1">
        <f t="array" ref="B7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75" t="str">
        <f>"cabal get -d outputDir " &amp; plan[[#This Row],[Cleaned Output]]</f>
        <v>cabal get -d outputDir base-4.12.0.0</v>
      </c>
    </row>
    <row r="76" spans="1:3" x14ac:dyDescent="0.4">
      <c r="A76" t="s">
        <v>75</v>
      </c>
      <c r="B76" t="str" cm="1">
        <f t="array" ref="B7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76" t="str">
        <f>"cabal get -d outputDir " &amp; plan[[#This Row],[Cleaned Output]]</f>
        <v>cabal get -d outputDir deepseq-1.4.4.0</v>
      </c>
    </row>
    <row r="77" spans="1:3" x14ac:dyDescent="0.4">
      <c r="A77" t="s">
        <v>77</v>
      </c>
      <c r="B77" t="str" cm="1">
        <f t="array" ref="B7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77" t="str">
        <f>"cabal get -d outputDir " &amp; plan[[#This Row],[Cleaned Output]]</f>
        <v>cabal get -d outputDir ghc-prim-0.5.3</v>
      </c>
    </row>
    <row r="78" spans="1:3" x14ac:dyDescent="0.4">
      <c r="A78" t="s">
        <v>101</v>
      </c>
      <c r="B78" t="str" cm="1">
        <f t="array" ref="B7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StateVar-1.2.2</v>
      </c>
      <c r="C78" t="str">
        <f>"cabal get -d outputDir " &amp; plan[[#This Row],[Cleaned Output]]</f>
        <v>cabal get -d outputDir StateVar-1.2.2</v>
      </c>
    </row>
    <row r="79" spans="1:3" x14ac:dyDescent="0.4">
      <c r="A79" t="s">
        <v>68</v>
      </c>
      <c r="B79" t="str" cm="1">
        <f t="array" ref="B7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79" t="str">
        <f>"cabal get -d outputDir " &amp; plan[[#This Row],[Cleaned Output]]</f>
        <v>cabal get -d outputDir base-4.12.0.0</v>
      </c>
    </row>
    <row r="80" spans="1:3" x14ac:dyDescent="0.4">
      <c r="A80" t="s">
        <v>70</v>
      </c>
      <c r="B80" t="str" cm="1">
        <f t="array" ref="B8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80" t="str">
        <f>"cabal get -d outputDir " &amp; plan[[#This Row],[Cleaned Output]]</f>
        <v>cabal get -d outputDir transformers-0.5.6.2</v>
      </c>
    </row>
    <row r="81" spans="1:3" x14ac:dyDescent="0.4">
      <c r="A81" t="s">
        <v>92</v>
      </c>
      <c r="B81" t="str" cm="1">
        <f t="array" ref="B8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81" t="str">
        <f>"cabal get -d outputDir " &amp; plan[[#This Row],[Cleaned Output]]</f>
        <v>cabal get -d outputDir array-0.5.3.0</v>
      </c>
    </row>
    <row r="82" spans="1:3" x14ac:dyDescent="0.4">
      <c r="A82" t="s">
        <v>68</v>
      </c>
      <c r="B82" t="str" cm="1">
        <f t="array" ref="B8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82" t="str">
        <f>"cabal get -d outputDir " &amp; plan[[#This Row],[Cleaned Output]]</f>
        <v>cabal get -d outputDir base-4.12.0.0</v>
      </c>
    </row>
    <row r="83" spans="1:3" x14ac:dyDescent="0.4">
      <c r="A83" t="s">
        <v>68</v>
      </c>
      <c r="B83" t="str" cm="1">
        <f t="array" ref="B8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83" t="str">
        <f>"cabal get -d outputDir " &amp; plan[[#This Row],[Cleaned Output]]</f>
        <v>cabal get -d outputDir base-4.12.0.0</v>
      </c>
    </row>
    <row r="84" spans="1:3" x14ac:dyDescent="0.4">
      <c r="A84" t="s">
        <v>102</v>
      </c>
      <c r="B84" t="str" cm="1">
        <f t="array" ref="B8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filepath-1.4.2.1</v>
      </c>
      <c r="C84" t="str">
        <f>"cabal get -d outputDir " &amp; plan[[#This Row],[Cleaned Output]]</f>
        <v>cabal get -d outputDir filepath-1.4.2.1</v>
      </c>
    </row>
    <row r="85" spans="1:3" x14ac:dyDescent="0.4">
      <c r="A85" t="s">
        <v>85</v>
      </c>
      <c r="B85" t="str" cm="1">
        <f t="array" ref="B8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time-1.8.0.2</v>
      </c>
      <c r="C85" t="str">
        <f>"cabal get -d outputDir " &amp; plan[[#This Row],[Cleaned Output]]</f>
        <v>cabal get -d outputDir time-1.8.0.2</v>
      </c>
    </row>
    <row r="86" spans="1:3" x14ac:dyDescent="0.4">
      <c r="A86" t="s">
        <v>95</v>
      </c>
      <c r="B86" t="str" cm="1">
        <f t="array" ref="B8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86" t="str">
        <f>"cabal get -d outputDir " &amp; plan[[#This Row],[Cleaned Output]]</f>
        <v>cabal get -d outputDir unix-2.7.2.2</v>
      </c>
    </row>
    <row r="87" spans="1:3" x14ac:dyDescent="0.4">
      <c r="A87" t="s">
        <v>68</v>
      </c>
      <c r="B87" t="str" cm="1">
        <f t="array" ref="B8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87" t="str">
        <f>"cabal get -d outputDir " &amp; plan[[#This Row],[Cleaned Output]]</f>
        <v>cabal get -d outputDir base-4.12.0.0</v>
      </c>
    </row>
    <row r="88" spans="1:3" x14ac:dyDescent="0.4">
      <c r="A88" t="s">
        <v>96</v>
      </c>
      <c r="B88" t="str" cm="1">
        <f t="array" ref="B8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base-orphans-0.8.7</v>
      </c>
      <c r="C88" t="str">
        <f>"cabal get -d outputDir " &amp; plan[[#This Row],[Cleaned Output]]</f>
        <v>cabal get -d outputDir base-orphans-0.8.7</v>
      </c>
    </row>
    <row r="89" spans="1:3" x14ac:dyDescent="0.4">
      <c r="A89" t="s">
        <v>81</v>
      </c>
      <c r="B89" t="str" cm="1">
        <f t="array" ref="B8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tagged-0.8.6.1</v>
      </c>
      <c r="C89" t="str">
        <f>"cabal get -d outputDir " &amp; plan[[#This Row],[Cleaned Output]]</f>
        <v>cabal get -d outputDir tagged-0.8.6.1</v>
      </c>
    </row>
    <row r="90" spans="1:3" x14ac:dyDescent="0.4">
      <c r="A90" t="s">
        <v>70</v>
      </c>
      <c r="B90" t="str" cm="1">
        <f t="array" ref="B9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90" t="str">
        <f>"cabal get -d outputDir " &amp; plan[[#This Row],[Cleaned Output]]</f>
        <v>cabal get -d outputDir transformers-0.5.6.2</v>
      </c>
    </row>
    <row r="91" spans="1:3" x14ac:dyDescent="0.4">
      <c r="A91" t="s">
        <v>68</v>
      </c>
      <c r="B91" t="str" cm="1">
        <f t="array" ref="B9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91" t="str">
        <f>"cabal get -d outputDir " &amp; plan[[#This Row],[Cleaned Output]]</f>
        <v>cabal get -d outputDir base-4.12.0.0</v>
      </c>
    </row>
    <row r="92" spans="1:3" x14ac:dyDescent="0.4">
      <c r="A92" t="s">
        <v>75</v>
      </c>
      <c r="B92" t="str" cm="1">
        <f t="array" ref="B9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92" t="str">
        <f>"cabal get -d outputDir " &amp; plan[[#This Row],[Cleaned Output]]</f>
        <v>cabal get -d outputDir deepseq-1.4.4.0</v>
      </c>
    </row>
    <row r="93" spans="1:3" x14ac:dyDescent="0.4">
      <c r="A93" t="s">
        <v>68</v>
      </c>
      <c r="B93" t="str" cm="1">
        <f t="array" ref="B9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93" t="str">
        <f>"cabal get -d outputDir " &amp; plan[[#This Row],[Cleaned Output]]</f>
        <v>cabal get -d outputDir base-4.12.0.0</v>
      </c>
    </row>
    <row r="94" spans="1:3" x14ac:dyDescent="0.4">
      <c r="A94" t="s">
        <v>103</v>
      </c>
      <c r="B94" t="str" cm="1">
        <f t="array" ref="B9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mtl-2.2.2</v>
      </c>
      <c r="C94" t="str">
        <f>"cabal get -d outputDir " &amp; plan[[#This Row],[Cleaned Output]]</f>
        <v>cabal get -d outputDir mtl-2.2.2</v>
      </c>
    </row>
    <row r="95" spans="1:3" x14ac:dyDescent="0.4">
      <c r="A95" t="s">
        <v>69</v>
      </c>
      <c r="B95" t="str" cm="1">
        <f t="array" ref="B9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stm-2.5.0.0</v>
      </c>
      <c r="C95" t="str">
        <f>"cabal get -d outputDir " &amp; plan[[#This Row],[Cleaned Output]]</f>
        <v>cabal get -d outputDir stm-2.5.0.0</v>
      </c>
    </row>
    <row r="96" spans="1:3" x14ac:dyDescent="0.4">
      <c r="A96" t="s">
        <v>82</v>
      </c>
      <c r="B96" t="str" cm="1">
        <f t="array" ref="B9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template-haskell-2.14.0.0</v>
      </c>
      <c r="C96" t="str">
        <f>"cabal get -d outputDir " &amp; plan[[#This Row],[Cleaned Output]]</f>
        <v>cabal get -d outputDir template-haskell-2.14.0.0</v>
      </c>
    </row>
    <row r="97" spans="1:3" x14ac:dyDescent="0.4">
      <c r="A97" t="s">
        <v>70</v>
      </c>
      <c r="B97" t="str" cm="1">
        <f t="array" ref="B9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97" t="str">
        <f>"cabal get -d outputDir " &amp; plan[[#This Row],[Cleaned Output]]</f>
        <v>cabal get -d outputDir transformers-0.5.6.2</v>
      </c>
    </row>
    <row r="98" spans="1:3" x14ac:dyDescent="0.4">
      <c r="A98" t="s">
        <v>68</v>
      </c>
      <c r="B98" t="str" cm="1">
        <f t="array" ref="B9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98" t="str">
        <f>"cabal get -d outputDir " &amp; plan[[#This Row],[Cleaned Output]]</f>
        <v>cabal get -d outputDir base-4.12.0.0</v>
      </c>
    </row>
    <row r="99" spans="1:3" x14ac:dyDescent="0.4">
      <c r="A99" t="s">
        <v>68</v>
      </c>
      <c r="B99" t="str" cm="1">
        <f t="array" ref="B9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99" t="str">
        <f>"cabal get -d outputDir " &amp; plan[[#This Row],[Cleaned Output]]</f>
        <v>cabal get -d outputDir base-4.12.0.0</v>
      </c>
    </row>
    <row r="100" spans="1:3" x14ac:dyDescent="0.4">
      <c r="A100" t="s">
        <v>73</v>
      </c>
      <c r="B100" t="str" cm="1">
        <f t="array" ref="B10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100" t="str">
        <f>"cabal get -d outputDir " &amp; plan[[#This Row],[Cleaned Output]]</f>
        <v>cabal get -d outputDir bytestring-0.10.8.2</v>
      </c>
    </row>
    <row r="101" spans="1:3" x14ac:dyDescent="0.4">
      <c r="A101" t="s">
        <v>97</v>
      </c>
      <c r="B101" t="str" cm="1">
        <f t="array" ref="B10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comonad-5.0.8</v>
      </c>
      <c r="C101" t="str">
        <f>"cabal get -d outputDir " &amp; plan[[#This Row],[Cleaned Output]]</f>
        <v>cabal get -d outputDir comonad-5.0.8</v>
      </c>
    </row>
    <row r="102" spans="1:3" x14ac:dyDescent="0.4">
      <c r="A102" t="s">
        <v>74</v>
      </c>
      <c r="B102" t="str" cm="1">
        <f t="array" ref="B10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102" t="str">
        <f>"cabal get -d outputDir " &amp; plan[[#This Row],[Cleaned Output]]</f>
        <v>cabal get -d outputDir containers-0.6.0.1</v>
      </c>
    </row>
    <row r="103" spans="1:3" x14ac:dyDescent="0.4">
      <c r="A103" t="s">
        <v>104</v>
      </c>
      <c r="B103" t="str" cm="1">
        <f t="array" ref="B10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contravariant-1.5.5</v>
      </c>
      <c r="C103" t="str">
        <f>"cabal get -d outputDir " &amp; plan[[#This Row],[Cleaned Output]]</f>
        <v>cabal get -d outputDir contravariant-1.5.5</v>
      </c>
    </row>
    <row r="104" spans="1:3" x14ac:dyDescent="0.4">
      <c r="A104" t="s">
        <v>78</v>
      </c>
      <c r="B104" t="str" cm="1">
        <f t="array" ref="B10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hashable-1.2.7.0</v>
      </c>
      <c r="C104" t="str">
        <f>"cabal get -d outputDir " &amp; plan[[#This Row],[Cleaned Output]]</f>
        <v>cabal get -d outputDir hashable-1.2.7.0</v>
      </c>
    </row>
    <row r="105" spans="1:3" x14ac:dyDescent="0.4">
      <c r="A105" t="s">
        <v>105</v>
      </c>
      <c r="B105" t="str" cm="1">
        <f t="array" ref="B10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mwc-random-0.14.0.0</v>
      </c>
      <c r="C105" t="str">
        <f>"cabal get -d outputDir " &amp; plan[[#This Row],[Cleaned Output]]</f>
        <v>cabal get -d outputDir mwc-random-0.14.0.0</v>
      </c>
    </row>
    <row r="106" spans="1:3" x14ac:dyDescent="0.4">
      <c r="A106" t="s">
        <v>79</v>
      </c>
      <c r="B106" t="str" cm="1">
        <f t="array" ref="B10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primitive-0.6.4.0</v>
      </c>
      <c r="C106" t="str">
        <f>"cabal get -d outputDir " &amp; plan[[#This Row],[Cleaned Output]]</f>
        <v>cabal get -d outputDir primitive-0.6.4.0</v>
      </c>
    </row>
    <row r="107" spans="1:3" x14ac:dyDescent="0.4">
      <c r="A107" t="s">
        <v>106</v>
      </c>
      <c r="B107" t="str" cm="1">
        <f t="array" ref="B10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profunctors-5.6.2</v>
      </c>
      <c r="C107" t="str">
        <f>"cabal get -d outputDir " &amp; plan[[#This Row],[Cleaned Output]]</f>
        <v>cabal get -d outputDir profunctors-5.6.2</v>
      </c>
    </row>
    <row r="108" spans="1:3" x14ac:dyDescent="0.4">
      <c r="A108" t="s">
        <v>107</v>
      </c>
      <c r="B108" t="str" cm="1">
        <f t="array" ref="B10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semigroupoids-5.3.7</v>
      </c>
      <c r="C108" t="str">
        <f>"cabal get -d outputDir " &amp; plan[[#This Row],[Cleaned Output]]</f>
        <v>cabal get -d outputDir semigroupoids-5.3.7</v>
      </c>
    </row>
    <row r="109" spans="1:3" x14ac:dyDescent="0.4">
      <c r="A109" t="s">
        <v>83</v>
      </c>
      <c r="B109" t="str" cm="1">
        <f t="array" ref="B10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109" t="str">
        <f>"cabal get -d outputDir " &amp; plan[[#This Row],[Cleaned Output]]</f>
        <v>cabal get -d outputDir text-1.2.3.1</v>
      </c>
    </row>
    <row r="110" spans="1:3" x14ac:dyDescent="0.4">
      <c r="A110" t="s">
        <v>70</v>
      </c>
      <c r="B110" t="str" cm="1">
        <f t="array" ref="B11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10" t="str">
        <f>"cabal get -d outputDir " &amp; plan[[#This Row],[Cleaned Output]]</f>
        <v>cabal get -d outputDir transformers-0.5.6.2</v>
      </c>
    </row>
    <row r="111" spans="1:3" x14ac:dyDescent="0.4">
      <c r="A111" t="s">
        <v>87</v>
      </c>
      <c r="B111" t="str" cm="1">
        <f t="array" ref="B11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unordered-containers-0.2.10.0</v>
      </c>
      <c r="C111" t="str">
        <f>"cabal get -d outputDir " &amp; plan[[#This Row],[Cleaned Output]]</f>
        <v>cabal get -d outputDir unordered-containers-0.2.10.0</v>
      </c>
    </row>
    <row r="112" spans="1:3" x14ac:dyDescent="0.4">
      <c r="A112" t="s">
        <v>89</v>
      </c>
      <c r="B112" t="str" cm="1">
        <f t="array" ref="B11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vector-0.12.0.3</v>
      </c>
      <c r="C112" t="str">
        <f>"cabal get -d outputDir " &amp; plan[[#This Row],[Cleaned Output]]</f>
        <v>cabal get -d outputDir vector-0.12.0.3</v>
      </c>
    </row>
    <row r="113" spans="1:3" x14ac:dyDescent="0.4">
      <c r="A113" t="s">
        <v>68</v>
      </c>
      <c r="B113" t="str" cm="1">
        <f t="array" ref="B11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13" t="str">
        <f>"cabal get -d outputDir " &amp; plan[[#This Row],[Cleaned Output]]</f>
        <v>cabal get -d outputDir base-4.12.0.0</v>
      </c>
    </row>
    <row r="114" spans="1:3" x14ac:dyDescent="0.4">
      <c r="A114" t="s">
        <v>94</v>
      </c>
      <c r="B114" t="str" cm="1">
        <f t="array" ref="B11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rts</v>
      </c>
      <c r="C114" t="str">
        <f>"cabal get -d outputDir " &amp; plan[[#This Row],[Cleaned Output]]</f>
        <v>cabal get -d outputDir rts</v>
      </c>
    </row>
    <row r="115" spans="1:3" x14ac:dyDescent="0.4">
      <c r="A115" t="s">
        <v>68</v>
      </c>
      <c r="B115" t="str" cm="1">
        <f t="array" ref="B11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15" t="str">
        <f>"cabal get -d outputDir " &amp; plan[[#This Row],[Cleaned Output]]</f>
        <v>cabal get -d outputDir base-4.12.0.0</v>
      </c>
    </row>
    <row r="116" spans="1:3" x14ac:dyDescent="0.4">
      <c r="A116" t="s">
        <v>73</v>
      </c>
      <c r="B116" t="str" cm="1">
        <f t="array" ref="B11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116" t="str">
        <f>"cabal get -d outputDir " &amp; plan[[#This Row],[Cleaned Output]]</f>
        <v>cabal get -d outputDir bytestring-0.10.8.2</v>
      </c>
    </row>
    <row r="117" spans="1:3" x14ac:dyDescent="0.4">
      <c r="A117" t="s">
        <v>75</v>
      </c>
      <c r="B117" t="str" cm="1">
        <f t="array" ref="B11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117" t="str">
        <f>"cabal get -d outputDir " &amp; plan[[#This Row],[Cleaned Output]]</f>
        <v>cabal get -d outputDir deepseq-1.4.4.0</v>
      </c>
    </row>
    <row r="118" spans="1:3" x14ac:dyDescent="0.4">
      <c r="A118" t="s">
        <v>77</v>
      </c>
      <c r="B118" t="str" cm="1">
        <f t="array" ref="B11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118" t="str">
        <f>"cabal get -d outputDir " &amp; plan[[#This Row],[Cleaned Output]]</f>
        <v>cabal get -d outputDir ghc-prim-0.5.3</v>
      </c>
    </row>
    <row r="119" spans="1:3" x14ac:dyDescent="0.4">
      <c r="A119" t="s">
        <v>93</v>
      </c>
      <c r="B119" t="str" cm="1">
        <f t="array" ref="B11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integer-gmp-1.0.2.0</v>
      </c>
      <c r="C119" t="str">
        <f>"cabal get -d outputDir " &amp; plan[[#This Row],[Cleaned Output]]</f>
        <v>cabal get -d outputDir integer-gmp-1.0.2.0</v>
      </c>
    </row>
    <row r="120" spans="1:3" x14ac:dyDescent="0.4">
      <c r="A120" t="s">
        <v>83</v>
      </c>
      <c r="B120" t="str" cm="1">
        <f t="array" ref="B12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120" t="str">
        <f>"cabal get -d outputDir " &amp; plan[[#This Row],[Cleaned Output]]</f>
        <v>cabal get -d outputDir text-1.2.3.1</v>
      </c>
    </row>
    <row r="121" spans="1:3" x14ac:dyDescent="0.4">
      <c r="A121" t="s">
        <v>92</v>
      </c>
      <c r="B121" t="str" cm="1">
        <f t="array" ref="B12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121" t="str">
        <f>"cabal get -d outputDir " &amp; plan[[#This Row],[Cleaned Output]]</f>
        <v>cabal get -d outputDir array-0.5.3.0</v>
      </c>
    </row>
    <row r="122" spans="1:3" x14ac:dyDescent="0.4">
      <c r="A122" t="s">
        <v>68</v>
      </c>
      <c r="B122" t="str" cm="1">
        <f t="array" ref="B12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22" t="str">
        <f>"cabal get -d outputDir " &amp; plan[[#This Row],[Cleaned Output]]</f>
        <v>cabal get -d outputDir base-4.12.0.0</v>
      </c>
    </row>
    <row r="123" spans="1:3" x14ac:dyDescent="0.4">
      <c r="A123" t="s">
        <v>74</v>
      </c>
      <c r="B123" t="str" cm="1">
        <f t="array" ref="B12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123" t="str">
        <f>"cabal get -d outputDir " &amp; plan[[#This Row],[Cleaned Output]]</f>
        <v>cabal get -d outputDir containers-0.6.0.1</v>
      </c>
    </row>
    <row r="124" spans="1:3" x14ac:dyDescent="0.4">
      <c r="A124" t="s">
        <v>70</v>
      </c>
      <c r="B124" t="str" cm="1">
        <f t="array" ref="B12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24" t="str">
        <f>"cabal get -d outputDir " &amp; plan[[#This Row],[Cleaned Output]]</f>
        <v>cabal get -d outputDir transformers-0.5.6.2</v>
      </c>
    </row>
    <row r="125" spans="1:3" x14ac:dyDescent="0.4">
      <c r="A125" t="s">
        <v>77</v>
      </c>
      <c r="B125" t="str" cm="1">
        <f t="array" ref="B12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125" t="str">
        <f>"cabal get -d outputDir " &amp; plan[[#This Row],[Cleaned Output]]</f>
        <v>cabal get -d outputDir ghc-prim-0.5.3</v>
      </c>
    </row>
    <row r="126" spans="1:3" x14ac:dyDescent="0.4">
      <c r="A126" t="s">
        <v>92</v>
      </c>
      <c r="B126" t="str" cm="1">
        <f t="array" ref="B12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126" t="str">
        <f>"cabal get -d outputDir " &amp; plan[[#This Row],[Cleaned Output]]</f>
        <v>cabal get -d outputDir array-0.5.3.0</v>
      </c>
    </row>
    <row r="127" spans="1:3" x14ac:dyDescent="0.4">
      <c r="A127" t="s">
        <v>68</v>
      </c>
      <c r="B127" t="str" cm="1">
        <f t="array" ref="B12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27" t="str">
        <f>"cabal get -d outputDir " &amp; plan[[#This Row],[Cleaned Output]]</f>
        <v>cabal get -d outputDir base-4.12.0.0</v>
      </c>
    </row>
    <row r="128" spans="1:3" x14ac:dyDescent="0.4">
      <c r="A128" t="s">
        <v>77</v>
      </c>
      <c r="B128" t="str" cm="1">
        <f t="array" ref="B12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128" t="str">
        <f>"cabal get -d outputDir " &amp; plan[[#This Row],[Cleaned Output]]</f>
        <v>cabal get -d outputDir ghc-prim-0.5.3</v>
      </c>
    </row>
    <row r="129" spans="1:3" x14ac:dyDescent="0.4">
      <c r="A129" t="s">
        <v>93</v>
      </c>
      <c r="B129" t="str" cm="1">
        <f t="array" ref="B12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integer-gmp-1.0.2.0</v>
      </c>
      <c r="C129" t="str">
        <f>"cabal get -d outputDir " &amp; plan[[#This Row],[Cleaned Output]]</f>
        <v>cabal get -d outputDir integer-gmp-1.0.2.0</v>
      </c>
    </row>
    <row r="130" spans="1:3" x14ac:dyDescent="0.4">
      <c r="A130" t="s">
        <v>68</v>
      </c>
      <c r="B130" t="str" cm="1">
        <f t="array" ref="B13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30" t="str">
        <f>"cabal get -d outputDir " &amp; plan[[#This Row],[Cleaned Output]]</f>
        <v>cabal get -d outputDir base-4.12.0.0</v>
      </c>
    </row>
    <row r="131" spans="1:3" x14ac:dyDescent="0.4">
      <c r="A131" t="s">
        <v>70</v>
      </c>
      <c r="B131" t="str" cm="1">
        <f t="array" ref="B13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31" t="str">
        <f>"cabal get -d outputDir " &amp; plan[[#This Row],[Cleaned Output]]</f>
        <v>cabal get -d outputDir transformers-0.5.6.2</v>
      </c>
    </row>
    <row r="132" spans="1:3" x14ac:dyDescent="0.4">
      <c r="A132" t="s">
        <v>68</v>
      </c>
      <c r="B132" t="str" cm="1">
        <f t="array" ref="B13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32" t="str">
        <f>"cabal get -d outputDir " &amp; plan[[#This Row],[Cleaned Output]]</f>
        <v>cabal get -d outputDir base-4.12.0.0</v>
      </c>
    </row>
    <row r="133" spans="1:3" x14ac:dyDescent="0.4">
      <c r="A133" t="s">
        <v>108</v>
      </c>
      <c r="B133" t="str" cm="1">
        <f t="array" ref="B13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data-default-class-0.1.2.0</v>
      </c>
      <c r="C133" t="str">
        <f>"cabal get -d outputDir " &amp; plan[[#This Row],[Cleaned Output]]</f>
        <v>cabal get -d outputDir data-default-class-0.1.2.0</v>
      </c>
    </row>
    <row r="134" spans="1:3" x14ac:dyDescent="0.4">
      <c r="A134" t="s">
        <v>75</v>
      </c>
      <c r="B134" t="str" cm="1">
        <f t="array" ref="B13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134" t="str">
        <f>"cabal get -d outputDir " &amp; plan[[#This Row],[Cleaned Output]]</f>
        <v>cabal get -d outputDir deepseq-1.4.4.0</v>
      </c>
    </row>
    <row r="135" spans="1:3" x14ac:dyDescent="0.4">
      <c r="A135" t="s">
        <v>79</v>
      </c>
      <c r="B135" t="str" cm="1">
        <f t="array" ref="B13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primitive-0.6.4.0</v>
      </c>
      <c r="C135" t="str">
        <f>"cabal get -d outputDir " &amp; plan[[#This Row],[Cleaned Output]]</f>
        <v>cabal get -d outputDir primitive-0.6.4.0</v>
      </c>
    </row>
    <row r="136" spans="1:3" x14ac:dyDescent="0.4">
      <c r="A136" t="s">
        <v>89</v>
      </c>
      <c r="B136" t="str" cm="1">
        <f t="array" ref="B13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vector-0.12.0.3</v>
      </c>
      <c r="C136" t="str">
        <f>"cabal get -d outputDir " &amp; plan[[#This Row],[Cleaned Output]]</f>
        <v>cabal get -d outputDir vector-0.12.0.3</v>
      </c>
    </row>
    <row r="137" spans="1:3" x14ac:dyDescent="0.4">
      <c r="A137" t="s">
        <v>68</v>
      </c>
      <c r="B137" t="str" cm="1">
        <f t="array" ref="B13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37" t="str">
        <f>"cabal get -d outputDir " &amp; plan[[#This Row],[Cleaned Output]]</f>
        <v>cabal get -d outputDir base-4.12.0.0</v>
      </c>
    </row>
    <row r="138" spans="1:3" x14ac:dyDescent="0.4">
      <c r="A138" t="s">
        <v>70</v>
      </c>
      <c r="B138" t="str" cm="1">
        <f t="array" ref="B13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38" t="str">
        <f>"cabal get -d outputDir " &amp; plan[[#This Row],[Cleaned Output]]</f>
        <v>cabal get -d outputDir transformers-0.5.6.2</v>
      </c>
    </row>
    <row r="139" spans="1:3" x14ac:dyDescent="0.4">
      <c r="A139" t="s">
        <v>68</v>
      </c>
      <c r="B139" t="str" cm="1">
        <f t="array" ref="B13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39" t="str">
        <f>"cabal get -d outputDir " &amp; plan[[#This Row],[Cleaned Output]]</f>
        <v>cabal get -d outputDir base-4.12.0.0</v>
      </c>
    </row>
    <row r="140" spans="1:3" x14ac:dyDescent="0.4">
      <c r="A140" t="s">
        <v>109</v>
      </c>
      <c r="B140" t="str" cm="1">
        <f t="array" ref="B14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math-functions-0.3.4.2</v>
      </c>
      <c r="C140" t="str">
        <f>"cabal get -d outputDir " &amp; plan[[#This Row],[Cleaned Output]]</f>
        <v>cabal get -d outputDir math-functions-0.3.4.2</v>
      </c>
    </row>
    <row r="141" spans="1:3" x14ac:dyDescent="0.4">
      <c r="A141" t="s">
        <v>79</v>
      </c>
      <c r="B141" t="str" cm="1">
        <f t="array" ref="B14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primitive-0.6.4.0</v>
      </c>
      <c r="C141" t="str">
        <f>"cabal get -d outputDir " &amp; plan[[#This Row],[Cleaned Output]]</f>
        <v>cabal get -d outputDir primitive-0.6.4.0</v>
      </c>
    </row>
    <row r="142" spans="1:3" x14ac:dyDescent="0.4">
      <c r="A142" t="s">
        <v>85</v>
      </c>
      <c r="B142" t="str" cm="1">
        <f t="array" ref="B14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time-1.8.0.2</v>
      </c>
      <c r="C142" t="str">
        <f>"cabal get -d outputDir " &amp; plan[[#This Row],[Cleaned Output]]</f>
        <v>cabal get -d outputDir time-1.8.0.2</v>
      </c>
    </row>
    <row r="143" spans="1:3" x14ac:dyDescent="0.4">
      <c r="A143" t="s">
        <v>89</v>
      </c>
      <c r="B143" t="str" cm="1">
        <f t="array" ref="B14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vector-0.12.0.3</v>
      </c>
      <c r="C143" t="str">
        <f>"cabal get -d outputDir " &amp; plan[[#This Row],[Cleaned Output]]</f>
        <v>cabal get -d outputDir vector-0.12.0.3</v>
      </c>
    </row>
    <row r="144" spans="1:3" x14ac:dyDescent="0.4">
      <c r="A144" t="s">
        <v>68</v>
      </c>
      <c r="B144" t="str" cm="1">
        <f t="array" ref="B14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44" t="str">
        <f>"cabal get -d outputDir " &amp; plan[[#This Row],[Cleaned Output]]</f>
        <v>cabal get -d outputDir base-4.12.0.0</v>
      </c>
    </row>
    <row r="145" spans="1:3" x14ac:dyDescent="0.4">
      <c r="A145" t="s">
        <v>73</v>
      </c>
      <c r="B145" t="str" cm="1">
        <f t="array" ref="B14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145" t="str">
        <f>"cabal get -d outputDir " &amp; plan[[#This Row],[Cleaned Output]]</f>
        <v>cabal get -d outputDir bytestring-0.10.8.2</v>
      </c>
    </row>
    <row r="146" spans="1:3" x14ac:dyDescent="0.4">
      <c r="A146" t="s">
        <v>95</v>
      </c>
      <c r="B146" t="str" cm="1">
        <f t="array" ref="B14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146" t="str">
        <f>"cabal get -d outputDir " &amp; plan[[#This Row],[Cleaned Output]]</f>
        <v>cabal get -d outputDir unix-2.7.2.2</v>
      </c>
    </row>
    <row r="147" spans="1:3" x14ac:dyDescent="0.4">
      <c r="A147" t="s">
        <v>68</v>
      </c>
      <c r="B147" t="str" cm="1">
        <f t="array" ref="B14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47" t="str">
        <f>"cabal get -d outputDir " &amp; plan[[#This Row],[Cleaned Output]]</f>
        <v>cabal get -d outputDir base-4.12.0.0</v>
      </c>
    </row>
    <row r="148" spans="1:3" x14ac:dyDescent="0.4">
      <c r="A148" t="s">
        <v>110</v>
      </c>
      <c r="B148" t="str" cm="1">
        <f t="array" ref="B14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ansi-wl-pprint-0.6.9</v>
      </c>
      <c r="C148" t="str">
        <f>"cabal get -d outputDir " &amp; plan[[#This Row],[Cleaned Output]]</f>
        <v>cabal get -d outputDir ansi-wl-pprint-0.6.9</v>
      </c>
    </row>
    <row r="149" spans="1:3" x14ac:dyDescent="0.4">
      <c r="A149" t="s">
        <v>68</v>
      </c>
      <c r="B149" t="str" cm="1">
        <f t="array" ref="B14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49" t="str">
        <f>"cabal get -d outputDir " &amp; plan[[#This Row],[Cleaned Output]]</f>
        <v>cabal get -d outputDir base-4.12.0.0</v>
      </c>
    </row>
    <row r="150" spans="1:3" x14ac:dyDescent="0.4">
      <c r="A150" t="s">
        <v>111</v>
      </c>
      <c r="B150" t="str" cm="1">
        <f t="array" ref="B15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process-1.6.5.0</v>
      </c>
      <c r="C150" t="str">
        <f>"cabal get -d outputDir " &amp; plan[[#This Row],[Cleaned Output]]</f>
        <v>cabal get -d outputDir process-1.6.5.0</v>
      </c>
    </row>
    <row r="151" spans="1:3" x14ac:dyDescent="0.4">
      <c r="A151" t="s">
        <v>70</v>
      </c>
      <c r="B151" t="str" cm="1">
        <f t="array" ref="B15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51" t="str">
        <f>"cabal get -d outputDir " &amp; plan[[#This Row],[Cleaned Output]]</f>
        <v>cabal get -d outputDir transformers-0.5.6.2</v>
      </c>
    </row>
    <row r="152" spans="1:3" x14ac:dyDescent="0.4">
      <c r="A152" t="s">
        <v>100</v>
      </c>
      <c r="B152" t="str" cm="1">
        <f t="array" ref="B15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transformers-compat-0.7.2</v>
      </c>
      <c r="C152" t="str">
        <f>"cabal get -d outputDir " &amp; plan[[#This Row],[Cleaned Output]]</f>
        <v>cabal get -d outputDir transformers-compat-0.7.2</v>
      </c>
    </row>
    <row r="153" spans="1:3" x14ac:dyDescent="0.4">
      <c r="A153" t="s">
        <v>68</v>
      </c>
      <c r="B153" t="str" cm="1">
        <f t="array" ref="B15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53" t="str">
        <f>"cabal get -d outputDir " &amp; plan[[#This Row],[Cleaned Output]]</f>
        <v>cabal get -d outputDir base-4.12.0.0</v>
      </c>
    </row>
    <row r="154" spans="1:3" x14ac:dyDescent="0.4">
      <c r="A154" t="s">
        <v>75</v>
      </c>
      <c r="B154" t="str" cm="1">
        <f t="array" ref="B15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154" t="str">
        <f>"cabal get -d outputDir " &amp; plan[[#This Row],[Cleaned Output]]</f>
        <v>cabal get -d outputDir deepseq-1.4.4.0</v>
      </c>
    </row>
    <row r="155" spans="1:3" x14ac:dyDescent="0.4">
      <c r="A155" t="s">
        <v>77</v>
      </c>
      <c r="B155" t="str" cm="1">
        <f t="array" ref="B15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155" t="str">
        <f>"cabal get -d outputDir " &amp; plan[[#This Row],[Cleaned Output]]</f>
        <v>cabal get -d outputDir ghc-prim-0.5.3</v>
      </c>
    </row>
    <row r="156" spans="1:3" x14ac:dyDescent="0.4">
      <c r="A156" t="s">
        <v>68</v>
      </c>
      <c r="B156" t="str" cm="1">
        <f t="array" ref="B15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56" t="str">
        <f>"cabal get -d outputDir " &amp; plan[[#This Row],[Cleaned Output]]</f>
        <v>cabal get -d outputDir base-4.12.0.0</v>
      </c>
    </row>
    <row r="157" spans="1:3" x14ac:dyDescent="0.4">
      <c r="A157" t="s">
        <v>77</v>
      </c>
      <c r="B157" t="str" cm="1">
        <f t="array" ref="B15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157" t="str">
        <f>"cabal get -d outputDir " &amp; plan[[#This Row],[Cleaned Output]]</f>
        <v>cabal get -d outputDir ghc-prim-0.5.3</v>
      </c>
    </row>
    <row r="158" spans="1:3" x14ac:dyDescent="0.4">
      <c r="A158" t="s">
        <v>70</v>
      </c>
      <c r="B158" t="str" cm="1">
        <f t="array" ref="B15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58" t="str">
        <f>"cabal get -d outputDir " &amp; plan[[#This Row],[Cleaned Output]]</f>
        <v>cabal get -d outputDir transformers-0.5.6.2</v>
      </c>
    </row>
    <row r="159" spans="1:3" x14ac:dyDescent="0.4">
      <c r="A159" t="s">
        <v>68</v>
      </c>
      <c r="B159" t="str" cm="1">
        <f t="array" ref="B15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59" t="str">
        <f>"cabal get -d outputDir " &amp; plan[[#This Row],[Cleaned Output]]</f>
        <v>cabal get -d outputDir base-4.12.0.0</v>
      </c>
    </row>
    <row r="160" spans="1:3" x14ac:dyDescent="0.4">
      <c r="A160" t="s">
        <v>75</v>
      </c>
      <c r="B160" t="str" cm="1">
        <f t="array" ref="B16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160" t="str">
        <f>"cabal get -d outputDir " &amp; plan[[#This Row],[Cleaned Output]]</f>
        <v>cabal get -d outputDir deepseq-1.4.4.0</v>
      </c>
    </row>
    <row r="161" spans="1:3" x14ac:dyDescent="0.4">
      <c r="A161" t="s">
        <v>112</v>
      </c>
      <c r="B161" t="str" cm="1">
        <f t="array" ref="B16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directory-1.3.3.0</v>
      </c>
      <c r="C161" t="str">
        <f>"cabal get -d outputDir " &amp; plan[[#This Row],[Cleaned Output]]</f>
        <v>cabal get -d outputDir directory-1.3.3.0</v>
      </c>
    </row>
    <row r="162" spans="1:3" x14ac:dyDescent="0.4">
      <c r="A162" t="s">
        <v>102</v>
      </c>
      <c r="B162" t="str" cm="1">
        <f t="array" ref="B16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filepath-1.4.2.1</v>
      </c>
      <c r="C162" t="str">
        <f>"cabal get -d outputDir " &amp; plan[[#This Row],[Cleaned Output]]</f>
        <v>cabal get -d outputDir filepath-1.4.2.1</v>
      </c>
    </row>
    <row r="163" spans="1:3" x14ac:dyDescent="0.4">
      <c r="A163" t="s">
        <v>95</v>
      </c>
      <c r="B163" t="str" cm="1">
        <f t="array" ref="B16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163" t="str">
        <f>"cabal get -d outputDir " &amp; plan[[#This Row],[Cleaned Output]]</f>
        <v>cabal get -d outputDir unix-2.7.2.2</v>
      </c>
    </row>
    <row r="164" spans="1:3" x14ac:dyDescent="0.4">
      <c r="A164" t="s">
        <v>68</v>
      </c>
      <c r="B164" t="str" cm="1">
        <f t="array" ref="B16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64" t="str">
        <f>"cabal get -d outputDir " &amp; plan[[#This Row],[Cleaned Output]]</f>
        <v>cabal get -d outputDir base-4.12.0.0</v>
      </c>
    </row>
    <row r="165" spans="1:3" x14ac:dyDescent="0.4">
      <c r="A165" t="s">
        <v>96</v>
      </c>
      <c r="B165" t="str" cm="1">
        <f t="array" ref="B16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base-orphans-0.8.7</v>
      </c>
      <c r="C165" t="str">
        <f>"cabal get -d outputDir " &amp; plan[[#This Row],[Cleaned Output]]</f>
        <v>cabal get -d outputDir base-orphans-0.8.7</v>
      </c>
    </row>
    <row r="166" spans="1:3" x14ac:dyDescent="0.4">
      <c r="A166" t="s">
        <v>113</v>
      </c>
      <c r="B166" t="str" cm="1">
        <f t="array" ref="B16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bifunctors-5.5.13</v>
      </c>
      <c r="C166" t="str">
        <f>"cabal get -d outputDir " &amp; plan[[#This Row],[Cleaned Output]]</f>
        <v>cabal get -d outputDir bifunctors-5.5.13</v>
      </c>
    </row>
    <row r="167" spans="1:3" x14ac:dyDescent="0.4">
      <c r="A167" t="s">
        <v>97</v>
      </c>
      <c r="B167" t="str" cm="1">
        <f t="array" ref="B16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comonad-5.0.8</v>
      </c>
      <c r="C167" t="str">
        <f>"cabal get -d outputDir " &amp; plan[[#This Row],[Cleaned Output]]</f>
        <v>cabal get -d outputDir comonad-5.0.8</v>
      </c>
    </row>
    <row r="168" spans="1:3" x14ac:dyDescent="0.4">
      <c r="A168" t="s">
        <v>104</v>
      </c>
      <c r="B168" t="str" cm="1">
        <f t="array" ref="B16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contravariant-1.5.5</v>
      </c>
      <c r="C168" t="str">
        <f>"cabal get -d outputDir " &amp; plan[[#This Row],[Cleaned Output]]</f>
        <v>cabal get -d outputDir contravariant-1.5.5</v>
      </c>
    </row>
    <row r="169" spans="1:3" x14ac:dyDescent="0.4">
      <c r="A169" t="s">
        <v>98</v>
      </c>
      <c r="B169" t="str" cm="1">
        <f t="array" ref="B16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distributive-0.6.2.1</v>
      </c>
      <c r="C169" t="str">
        <f>"cabal get -d outputDir " &amp; plan[[#This Row],[Cleaned Output]]</f>
        <v>cabal get -d outputDir distributive-0.6.2.1</v>
      </c>
    </row>
    <row r="170" spans="1:3" x14ac:dyDescent="0.4">
      <c r="A170" t="s">
        <v>81</v>
      </c>
      <c r="B170" t="str" cm="1">
        <f t="array" ref="B17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tagged-0.8.6.1</v>
      </c>
      <c r="C170" t="str">
        <f>"cabal get -d outputDir " &amp; plan[[#This Row],[Cleaned Output]]</f>
        <v>cabal get -d outputDir tagged-0.8.6.1</v>
      </c>
    </row>
    <row r="171" spans="1:3" x14ac:dyDescent="0.4">
      <c r="A171" t="s">
        <v>70</v>
      </c>
      <c r="B171" t="str" cm="1">
        <f t="array" ref="B17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71" t="str">
        <f>"cabal get -d outputDir " &amp; plan[[#This Row],[Cleaned Output]]</f>
        <v>cabal get -d outputDir transformers-0.5.6.2</v>
      </c>
    </row>
    <row r="172" spans="1:3" x14ac:dyDescent="0.4">
      <c r="A172" t="s">
        <v>68</v>
      </c>
      <c r="B172" t="str" cm="1">
        <f t="array" ref="B17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72" t="str">
        <f>"cabal get -d outputDir " &amp; plan[[#This Row],[Cleaned Output]]</f>
        <v>cabal get -d outputDir base-4.12.0.0</v>
      </c>
    </row>
    <row r="173" spans="1:3" x14ac:dyDescent="0.4">
      <c r="A173" t="s">
        <v>85</v>
      </c>
      <c r="B173" t="str" cm="1">
        <f t="array" ref="B17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time-1.8.0.2</v>
      </c>
      <c r="C173" t="str">
        <f>"cabal get -d outputDir " &amp; plan[[#This Row],[Cleaned Output]]</f>
        <v>cabal get -d outputDir time-1.8.0.2</v>
      </c>
    </row>
    <row r="174" spans="1:3" x14ac:dyDescent="0.4">
      <c r="A174" t="s">
        <v>68</v>
      </c>
      <c r="B174" t="str" cm="1">
        <f t="array" ref="B17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74" t="str">
        <f>"cabal get -d outputDir " &amp; plan[[#This Row],[Cleaned Output]]</f>
        <v>cabal get -d outputDir base-4.12.0.0</v>
      </c>
    </row>
    <row r="175" spans="1:3" x14ac:dyDescent="0.4">
      <c r="A175" t="s">
        <v>114</v>
      </c>
      <c r="B175" t="str" cm="1">
        <f t="array" ref="B17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binary-0.8.6.0</v>
      </c>
      <c r="C175" t="str">
        <f>"cabal get -d outputDir " &amp; plan[[#This Row],[Cleaned Output]]</f>
        <v>cabal get -d outputDir binary-0.8.6.0</v>
      </c>
    </row>
    <row r="176" spans="1:3" x14ac:dyDescent="0.4">
      <c r="A176" t="s">
        <v>73</v>
      </c>
      <c r="B176" t="str" cm="1">
        <f t="array" ref="B17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176" t="str">
        <f>"cabal get -d outputDir " &amp; plan[[#This Row],[Cleaned Output]]</f>
        <v>cabal get -d outputDir bytestring-0.10.8.2</v>
      </c>
    </row>
    <row r="177" spans="1:3" x14ac:dyDescent="0.4">
      <c r="A177" t="s">
        <v>74</v>
      </c>
      <c r="B177" t="str" cm="1">
        <f t="array" ref="B17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177" t="str">
        <f>"cabal get -d outputDir " &amp; plan[[#This Row],[Cleaned Output]]</f>
        <v>cabal get -d outputDir containers-0.6.0.1</v>
      </c>
    </row>
    <row r="178" spans="1:3" x14ac:dyDescent="0.4">
      <c r="A178" t="s">
        <v>75</v>
      </c>
      <c r="B178" t="str" cm="1">
        <f t="array" ref="B17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178" t="str">
        <f>"cabal get -d outputDir " &amp; plan[[#This Row],[Cleaned Output]]</f>
        <v>cabal get -d outputDir deepseq-1.4.4.0</v>
      </c>
    </row>
    <row r="179" spans="1:3" x14ac:dyDescent="0.4">
      <c r="A179" t="s">
        <v>78</v>
      </c>
      <c r="B179" t="str" cm="1">
        <f t="array" ref="B17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hashable-1.2.7.0</v>
      </c>
      <c r="C179" t="str">
        <f>"cabal get -d outputDir " &amp; plan[[#This Row],[Cleaned Output]]</f>
        <v>cabal get -d outputDir hashable-1.2.7.0</v>
      </c>
    </row>
    <row r="180" spans="1:3" x14ac:dyDescent="0.4">
      <c r="A180" t="s">
        <v>93</v>
      </c>
      <c r="B180" t="str" cm="1">
        <f t="array" ref="B18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integer-gmp-1.0.2.0</v>
      </c>
      <c r="C180" t="str">
        <f>"cabal get -d outputDir " &amp; plan[[#This Row],[Cleaned Output]]</f>
        <v>cabal get -d outputDir integer-gmp-1.0.2.0</v>
      </c>
    </row>
    <row r="181" spans="1:3" x14ac:dyDescent="0.4">
      <c r="A181" t="s">
        <v>115</v>
      </c>
      <c r="B181" t="str" cm="1">
        <f t="array" ref="B18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integer-logarithms-1.0.3</v>
      </c>
      <c r="C181" t="str">
        <f>"cabal get -d outputDir " &amp; plan[[#This Row],[Cleaned Output]]</f>
        <v>cabal get -d outputDir integer-logarithms-1.0.3</v>
      </c>
    </row>
    <row r="182" spans="1:3" x14ac:dyDescent="0.4">
      <c r="A182" t="s">
        <v>79</v>
      </c>
      <c r="B182" t="str" cm="1">
        <f t="array" ref="B18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primitive-0.6.4.0</v>
      </c>
      <c r="C182" t="str">
        <f>"cabal get -d outputDir " &amp; plan[[#This Row],[Cleaned Output]]</f>
        <v>cabal get -d outputDir primitive-0.6.4.0</v>
      </c>
    </row>
    <row r="183" spans="1:3" x14ac:dyDescent="0.4">
      <c r="A183" t="s">
        <v>83</v>
      </c>
      <c r="B183" t="str" cm="1">
        <f t="array" ref="B18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183" t="str">
        <f>"cabal get -d outputDir " &amp; plan[[#This Row],[Cleaned Output]]</f>
        <v>cabal get -d outputDir text-1.2.3.1</v>
      </c>
    </row>
    <row r="184" spans="1:3" x14ac:dyDescent="0.4">
      <c r="A184" t="s">
        <v>68</v>
      </c>
      <c r="B184" t="str" cm="1">
        <f t="array" ref="B18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84" t="str">
        <f>"cabal get -d outputDir " &amp; plan[[#This Row],[Cleaned Output]]</f>
        <v>cabal get -d outputDir base-4.12.0.0</v>
      </c>
    </row>
    <row r="185" spans="1:3" x14ac:dyDescent="0.4">
      <c r="A185" t="s">
        <v>96</v>
      </c>
      <c r="B185" t="str" cm="1">
        <f t="array" ref="B18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base-orphans-0.8.7</v>
      </c>
      <c r="C185" t="str">
        <f>"cabal get -d outputDir " &amp; plan[[#This Row],[Cleaned Output]]</f>
        <v>cabal get -d outputDir base-orphans-0.8.7</v>
      </c>
    </row>
    <row r="186" spans="1:3" x14ac:dyDescent="0.4">
      <c r="A186" t="s">
        <v>113</v>
      </c>
      <c r="B186" t="str" cm="1">
        <f t="array" ref="B18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bifunctors-5.5.13</v>
      </c>
      <c r="C186" t="str">
        <f>"cabal get -d outputDir " &amp; plan[[#This Row],[Cleaned Output]]</f>
        <v>cabal get -d outputDir bifunctors-5.5.13</v>
      </c>
    </row>
    <row r="187" spans="1:3" x14ac:dyDescent="0.4">
      <c r="A187" t="s">
        <v>97</v>
      </c>
      <c r="B187" t="str" cm="1">
        <f t="array" ref="B18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comonad-5.0.8</v>
      </c>
      <c r="C187" t="str">
        <f>"cabal get -d outputDir " &amp; plan[[#This Row],[Cleaned Output]]</f>
        <v>cabal get -d outputDir comonad-5.0.8</v>
      </c>
    </row>
    <row r="188" spans="1:3" x14ac:dyDescent="0.4">
      <c r="A188" t="s">
        <v>74</v>
      </c>
      <c r="B188" t="str" cm="1">
        <f t="array" ref="B18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188" t="str">
        <f>"cabal get -d outputDir " &amp; plan[[#This Row],[Cleaned Output]]</f>
        <v>cabal get -d outputDir containers-0.6.0.1</v>
      </c>
    </row>
    <row r="189" spans="1:3" x14ac:dyDescent="0.4">
      <c r="A189" t="s">
        <v>104</v>
      </c>
      <c r="B189" t="str" cm="1">
        <f t="array" ref="B18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contravariant-1.5.5</v>
      </c>
      <c r="C189" t="str">
        <f>"cabal get -d outputDir " &amp; plan[[#This Row],[Cleaned Output]]</f>
        <v>cabal get -d outputDir contravariant-1.5.5</v>
      </c>
    </row>
    <row r="190" spans="1:3" x14ac:dyDescent="0.4">
      <c r="A190" t="s">
        <v>98</v>
      </c>
      <c r="B190" t="str" cm="1">
        <f t="array" ref="B19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distributive-0.6.2.1</v>
      </c>
      <c r="C190" t="str">
        <f>"cabal get -d outputDir " &amp; plan[[#This Row],[Cleaned Output]]</f>
        <v>cabal get -d outputDir distributive-0.6.2.1</v>
      </c>
    </row>
    <row r="191" spans="1:3" x14ac:dyDescent="0.4">
      <c r="A191" t="s">
        <v>78</v>
      </c>
      <c r="B191" t="str" cm="1">
        <f t="array" ref="B19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hashable-1.2.7.0</v>
      </c>
      <c r="C191" t="str">
        <f>"cabal get -d outputDir " &amp; plan[[#This Row],[Cleaned Output]]</f>
        <v>cabal get -d outputDir hashable-1.2.7.0</v>
      </c>
    </row>
    <row r="192" spans="1:3" x14ac:dyDescent="0.4">
      <c r="A192" t="s">
        <v>81</v>
      </c>
      <c r="B192" t="str" cm="1">
        <f t="array" ref="B19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tagged-0.8.6.1</v>
      </c>
      <c r="C192" t="str">
        <f>"cabal get -d outputDir " &amp; plan[[#This Row],[Cleaned Output]]</f>
        <v>cabal get -d outputDir tagged-0.8.6.1</v>
      </c>
    </row>
    <row r="193" spans="1:3" x14ac:dyDescent="0.4">
      <c r="A193" t="s">
        <v>82</v>
      </c>
      <c r="B193" t="str" cm="1">
        <f t="array" ref="B19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template-haskell-2.14.0.0</v>
      </c>
      <c r="C193" t="str">
        <f>"cabal get -d outputDir " &amp; plan[[#This Row],[Cleaned Output]]</f>
        <v>cabal get -d outputDir template-haskell-2.14.0.0</v>
      </c>
    </row>
    <row r="194" spans="1:3" x14ac:dyDescent="0.4">
      <c r="A194" t="s">
        <v>70</v>
      </c>
      <c r="B194" t="str" cm="1">
        <f t="array" ref="B19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194" t="str">
        <f>"cabal get -d outputDir " &amp; plan[[#This Row],[Cleaned Output]]</f>
        <v>cabal get -d outputDir transformers-0.5.6.2</v>
      </c>
    </row>
    <row r="195" spans="1:3" x14ac:dyDescent="0.4">
      <c r="A195" t="s">
        <v>100</v>
      </c>
      <c r="B195" t="str" cm="1">
        <f t="array" ref="B19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transformers-compat-0.7.2</v>
      </c>
      <c r="C195" t="str">
        <f>"cabal get -d outputDir " &amp; plan[[#This Row],[Cleaned Output]]</f>
        <v>cabal get -d outputDir transformers-compat-0.7.2</v>
      </c>
    </row>
    <row r="196" spans="1:3" x14ac:dyDescent="0.4">
      <c r="A196" t="s">
        <v>87</v>
      </c>
      <c r="B196" t="str" cm="1">
        <f t="array" ref="B19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unordered-containers-0.2.10.0</v>
      </c>
      <c r="C196" t="str">
        <f>"cabal get -d outputDir " &amp; plan[[#This Row],[Cleaned Output]]</f>
        <v>cabal get -d outputDir unordered-containers-0.2.10.0</v>
      </c>
    </row>
    <row r="197" spans="1:3" x14ac:dyDescent="0.4">
      <c r="A197" t="s">
        <v>92</v>
      </c>
      <c r="B197" t="str" cm="1">
        <f t="array" ref="B19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197" t="str">
        <f>"cabal get -d outputDir " &amp; plan[[#This Row],[Cleaned Output]]</f>
        <v>cabal get -d outputDir array-0.5.3.0</v>
      </c>
    </row>
    <row r="198" spans="1:3" x14ac:dyDescent="0.4">
      <c r="A198" t="s">
        <v>68</v>
      </c>
      <c r="B198" t="str" cm="1">
        <f t="array" ref="B19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198" t="str">
        <f>"cabal get -d outputDir " &amp; plan[[#This Row],[Cleaned Output]]</f>
        <v>cabal get -d outputDir base-4.12.0.0</v>
      </c>
    </row>
    <row r="199" spans="1:3" x14ac:dyDescent="0.4">
      <c r="A199" t="s">
        <v>92</v>
      </c>
      <c r="B199" t="str" cm="1">
        <f t="array" ref="B19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199" t="str">
        <f>"cabal get -d outputDir " &amp; plan[[#This Row],[Cleaned Output]]</f>
        <v>cabal get -d outputDir array-0.5.3.0</v>
      </c>
    </row>
    <row r="200" spans="1:3" x14ac:dyDescent="0.4">
      <c r="A200" t="s">
        <v>116</v>
      </c>
      <c r="B200" t="str" cm="1">
        <f t="array" ref="B20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async-2.2.2</v>
      </c>
      <c r="C200" t="str">
        <f>"cabal get -d outputDir " &amp; plan[[#This Row],[Cleaned Output]]</f>
        <v>cabal get -d outputDir async-2.2.2</v>
      </c>
    </row>
    <row r="201" spans="1:3" x14ac:dyDescent="0.4">
      <c r="A201" t="s">
        <v>68</v>
      </c>
      <c r="B201" t="str" cm="1">
        <f t="array" ref="B20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01" t="str">
        <f>"cabal get -d outputDir " &amp; plan[[#This Row],[Cleaned Output]]</f>
        <v>cabal get -d outputDir base-4.12.0.0</v>
      </c>
    </row>
    <row r="202" spans="1:3" x14ac:dyDescent="0.4">
      <c r="A202" t="s">
        <v>73</v>
      </c>
      <c r="B202" t="str" cm="1">
        <f t="array" ref="B20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202" t="str">
        <f>"cabal get -d outputDir " &amp; plan[[#This Row],[Cleaned Output]]</f>
        <v>cabal get -d outputDir bytestring-0.10.8.2</v>
      </c>
    </row>
    <row r="203" spans="1:3" x14ac:dyDescent="0.4">
      <c r="A203" t="s">
        <v>112</v>
      </c>
      <c r="B203" t="str" cm="1">
        <f t="array" ref="B20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directory-1.3.3.0</v>
      </c>
      <c r="C203" t="str">
        <f>"cabal get -d outputDir " &amp; plan[[#This Row],[Cleaned Output]]</f>
        <v>cabal get -d outputDir directory-1.3.3.0</v>
      </c>
    </row>
    <row r="204" spans="1:3" x14ac:dyDescent="0.4">
      <c r="A204" t="s">
        <v>117</v>
      </c>
      <c r="B204" t="str" cm="1">
        <f t="array" ref="B20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network-2.8.0.1</v>
      </c>
      <c r="C204" t="str">
        <f>"cabal get -d outputDir " &amp; plan[[#This Row],[Cleaned Output]]</f>
        <v>cabal get -d outputDir network-2.8.0.1</v>
      </c>
    </row>
    <row r="205" spans="1:3" x14ac:dyDescent="0.4">
      <c r="A205" t="s">
        <v>111</v>
      </c>
      <c r="B205" t="str" cm="1">
        <f t="array" ref="B20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process-1.6.5.0</v>
      </c>
      <c r="C205" t="str">
        <f>"cabal get -d outputDir " &amp; plan[[#This Row],[Cleaned Output]]</f>
        <v>cabal get -d outputDir process-1.6.5.0</v>
      </c>
    </row>
    <row r="206" spans="1:3" x14ac:dyDescent="0.4">
      <c r="A206" t="s">
        <v>118</v>
      </c>
      <c r="B206" t="str" cm="1">
        <f t="array" ref="B20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random-1.1</v>
      </c>
      <c r="C206" t="str">
        <f>"cabal get -d outputDir " &amp; plan[[#This Row],[Cleaned Output]]</f>
        <v>cabal get -d outputDir random-1.1</v>
      </c>
    </row>
    <row r="207" spans="1:3" x14ac:dyDescent="0.4">
      <c r="A207" t="s">
        <v>69</v>
      </c>
      <c r="B207" t="str" cm="1">
        <f t="array" ref="B20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stm-2.5.0.0</v>
      </c>
      <c r="C207" t="str">
        <f>"cabal get -d outputDir " &amp; plan[[#This Row],[Cleaned Output]]</f>
        <v>cabal get -d outputDir stm-2.5.0.0</v>
      </c>
    </row>
    <row r="208" spans="1:3" x14ac:dyDescent="0.4">
      <c r="A208" t="s">
        <v>83</v>
      </c>
      <c r="B208" t="str" cm="1">
        <f t="array" ref="B20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208" t="str">
        <f>"cabal get -d outputDir " &amp; plan[[#This Row],[Cleaned Output]]</f>
        <v>cabal get -d outputDir text-1.2.3.1</v>
      </c>
    </row>
    <row r="209" spans="1:3" x14ac:dyDescent="0.4">
      <c r="A209" t="s">
        <v>70</v>
      </c>
      <c r="B209" t="str" cm="1">
        <f t="array" ref="B20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209" t="str">
        <f>"cabal get -d outputDir " &amp; plan[[#This Row],[Cleaned Output]]</f>
        <v>cabal get -d outputDir transformers-0.5.6.2</v>
      </c>
    </row>
    <row r="210" spans="1:3" x14ac:dyDescent="0.4">
      <c r="A210" t="s">
        <v>95</v>
      </c>
      <c r="B210" t="str" cm="1">
        <f t="array" ref="B21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210" t="str">
        <f>"cabal get -d outputDir " &amp; plan[[#This Row],[Cleaned Output]]</f>
        <v>cabal get -d outputDir unix-2.7.2.2</v>
      </c>
    </row>
    <row r="211" spans="1:3" x14ac:dyDescent="0.4">
      <c r="A211" t="s">
        <v>119</v>
      </c>
      <c r="B211" t="str" cm="1">
        <f t="array" ref="B21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zlib-0.6.2</v>
      </c>
      <c r="C211" t="str">
        <f>"cabal get -d outputDir " &amp; plan[[#This Row],[Cleaned Output]]</f>
        <v>cabal get -d outputDir zlib-0.6.2</v>
      </c>
    </row>
    <row r="212" spans="1:3" x14ac:dyDescent="0.4">
      <c r="A212" t="s">
        <v>68</v>
      </c>
      <c r="B212" t="str" cm="1">
        <f t="array" ref="B21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12" t="str">
        <f>"cabal get -d outputDir " &amp; plan[[#This Row],[Cleaned Output]]</f>
        <v>cabal get -d outputDir base-4.12.0.0</v>
      </c>
    </row>
    <row r="213" spans="1:3" x14ac:dyDescent="0.4">
      <c r="A213" t="s">
        <v>75</v>
      </c>
      <c r="B213" t="str" cm="1">
        <f t="array" ref="B21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213" t="str">
        <f>"cabal get -d outputDir " &amp; plan[[#This Row],[Cleaned Output]]</f>
        <v>cabal get -d outputDir deepseq-1.4.4.0</v>
      </c>
    </row>
    <row r="214" spans="1:3" x14ac:dyDescent="0.4">
      <c r="A214" t="s">
        <v>82</v>
      </c>
      <c r="B214" t="str" cm="1">
        <f t="array" ref="B21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template-haskell-2.14.0.0</v>
      </c>
      <c r="C214" t="str">
        <f>"cabal get -d outputDir " &amp; plan[[#This Row],[Cleaned Output]]</f>
        <v>cabal get -d outputDir template-haskell-2.14.0.0</v>
      </c>
    </row>
    <row r="215" spans="1:3" x14ac:dyDescent="0.4">
      <c r="A215" t="s">
        <v>70</v>
      </c>
      <c r="B215" t="str" cm="1">
        <f t="array" ref="B21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215" t="str">
        <f>"cabal get -d outputDir " &amp; plan[[#This Row],[Cleaned Output]]</f>
        <v>cabal get -d outputDir transformers-0.5.6.2</v>
      </c>
    </row>
    <row r="216" spans="1:3" x14ac:dyDescent="0.4">
      <c r="A216" t="s">
        <v>68</v>
      </c>
      <c r="B216" t="str" cm="1">
        <f t="array" ref="B21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16" t="str">
        <f>"cabal get -d outputDir " &amp; plan[[#This Row],[Cleaned Output]]</f>
        <v>cabal get -d outputDir base-4.12.0.0</v>
      </c>
    </row>
    <row r="217" spans="1:3" x14ac:dyDescent="0.4">
      <c r="A217" t="s">
        <v>120</v>
      </c>
      <c r="B217" t="str" cm="1">
        <f t="array" ref="B21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ghc-boot-th-8.6.5</v>
      </c>
      <c r="C217" t="str">
        <f>"cabal get -d outputDir " &amp; plan[[#This Row],[Cleaned Output]]</f>
        <v>cabal get -d outputDir ghc-boot-th-8.6.5</v>
      </c>
    </row>
    <row r="218" spans="1:3" x14ac:dyDescent="0.4">
      <c r="A218" t="s">
        <v>121</v>
      </c>
      <c r="B218" t="str" cm="1">
        <f t="array" ref="B21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pretty-1.1.3.6</v>
      </c>
      <c r="C218" t="str">
        <f>"cabal get -d outputDir " &amp; plan[[#This Row],[Cleaned Output]]</f>
        <v>cabal get -d outputDir pretty-1.1.3.6</v>
      </c>
    </row>
    <row r="219" spans="1:3" x14ac:dyDescent="0.4">
      <c r="A219" t="s">
        <v>68</v>
      </c>
      <c r="B219" t="str" cm="1">
        <f t="array" ref="B21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19" t="str">
        <f>"cabal get -d outputDir " &amp; plan[[#This Row],[Cleaned Output]]</f>
        <v>cabal get -d outputDir base-4.12.0.0</v>
      </c>
    </row>
    <row r="220" spans="1:3" x14ac:dyDescent="0.4">
      <c r="A220" t="s">
        <v>112</v>
      </c>
      <c r="B220" t="str" cm="1">
        <f t="array" ref="B22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directory-1.3.3.0</v>
      </c>
      <c r="C220" t="str">
        <f>"cabal get -d outputDir " &amp; plan[[#This Row],[Cleaned Output]]</f>
        <v>cabal get -d outputDir directory-1.3.3.0</v>
      </c>
    </row>
    <row r="221" spans="1:3" x14ac:dyDescent="0.4">
      <c r="A221" t="s">
        <v>122</v>
      </c>
      <c r="B221" t="str" cm="1">
        <f t="array" ref="B22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exceptions-0.10.5</v>
      </c>
      <c r="C221" t="str">
        <f>"cabal get -d outputDir " &amp; plan[[#This Row],[Cleaned Output]]</f>
        <v>cabal get -d outputDir exceptions-0.10.5</v>
      </c>
    </row>
    <row r="222" spans="1:3" x14ac:dyDescent="0.4">
      <c r="A222" t="s">
        <v>102</v>
      </c>
      <c r="B222" t="str" cm="1">
        <f t="array" ref="B22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filepath-1.4.2.1</v>
      </c>
      <c r="C222" t="str">
        <f>"cabal get -d outputDir " &amp; plan[[#This Row],[Cleaned Output]]</f>
        <v>cabal get -d outputDir filepath-1.4.2.1</v>
      </c>
    </row>
    <row r="223" spans="1:3" x14ac:dyDescent="0.4">
      <c r="A223" t="s">
        <v>118</v>
      </c>
      <c r="B223" t="str" cm="1">
        <f t="array" ref="B22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random-1.1</v>
      </c>
      <c r="C223" t="str">
        <f>"cabal get -d outputDir " &amp; plan[[#This Row],[Cleaned Output]]</f>
        <v>cabal get -d outputDir random-1.1</v>
      </c>
    </row>
    <row r="224" spans="1:3" x14ac:dyDescent="0.4">
      <c r="A224" t="s">
        <v>70</v>
      </c>
      <c r="B224" t="str" cm="1">
        <f t="array" ref="B22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224" t="str">
        <f>"cabal get -d outputDir " &amp; plan[[#This Row],[Cleaned Output]]</f>
        <v>cabal get -d outputDir transformers-0.5.6.2</v>
      </c>
    </row>
    <row r="225" spans="1:3" x14ac:dyDescent="0.4">
      <c r="A225" t="s">
        <v>95</v>
      </c>
      <c r="B225" t="str" cm="1">
        <f t="array" ref="B22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225" t="str">
        <f>"cabal get -d outputDir " &amp; plan[[#This Row],[Cleaned Output]]</f>
        <v>cabal get -d outputDir unix-2.7.2.2</v>
      </c>
    </row>
    <row r="226" spans="1:3" x14ac:dyDescent="0.4">
      <c r="A226" t="s">
        <v>123</v>
      </c>
      <c r="B226" t="str" cm="1">
        <f t="array" ref="B22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aeson-1.4.6.0</v>
      </c>
      <c r="C226" t="str">
        <f>"cabal get -d outputDir " &amp; plan[[#This Row],[Cleaned Output]]</f>
        <v>cabal get -d outputDir aeson-1.4.6.0</v>
      </c>
    </row>
    <row r="227" spans="1:3" x14ac:dyDescent="0.4">
      <c r="A227" t="s">
        <v>68</v>
      </c>
      <c r="B227" t="str" cm="1">
        <f t="array" ref="B22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27" t="str">
        <f>"cabal get -d outputDir " &amp; plan[[#This Row],[Cleaned Output]]</f>
        <v>cabal get -d outputDir base-4.12.0.0</v>
      </c>
    </row>
    <row r="228" spans="1:3" x14ac:dyDescent="0.4">
      <c r="A228" t="s">
        <v>74</v>
      </c>
      <c r="B228" t="str" cm="1">
        <f t="array" ref="B22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228" t="str">
        <f>"cabal get -d outputDir " &amp; plan[[#This Row],[Cleaned Output]]</f>
        <v>cabal get -d outputDir containers-0.6.0.1</v>
      </c>
    </row>
    <row r="229" spans="1:3" x14ac:dyDescent="0.4">
      <c r="A229" t="s">
        <v>83</v>
      </c>
      <c r="B229" t="str" cm="1">
        <f t="array" ref="B22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229" t="str">
        <f>"cabal get -d outputDir " &amp; plan[[#This Row],[Cleaned Output]]</f>
        <v>cabal get -d outputDir text-1.2.3.1</v>
      </c>
    </row>
    <row r="230" spans="1:3" x14ac:dyDescent="0.4">
      <c r="A230" t="s">
        <v>124</v>
      </c>
      <c r="B230" t="str" cm="1">
        <f t="array" ref="B23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turtle-1.6.1</v>
      </c>
      <c r="C230" t="str">
        <f>"cabal get -d outputDir " &amp; plan[[#This Row],[Cleaned Output]]</f>
        <v>cabal get -d outputDir turtle-1.6.1</v>
      </c>
    </row>
    <row r="231" spans="1:3" x14ac:dyDescent="0.4">
      <c r="A231" t="s">
        <v>68</v>
      </c>
      <c r="B231" t="str" cm="1">
        <f t="array" ref="B23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31" t="str">
        <f>"cabal get -d outputDir " &amp; plan[[#This Row],[Cleaned Output]]</f>
        <v>cabal get -d outputDir base-4.12.0.0</v>
      </c>
    </row>
    <row r="232" spans="1:3" x14ac:dyDescent="0.4">
      <c r="A232" t="s">
        <v>125</v>
      </c>
      <c r="B232" t="str" cm="1">
        <f t="array" ref="B23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optparse-applicative-0.17.0.0</v>
      </c>
      <c r="C232" t="str">
        <f>"cabal get -d outputDir " &amp; plan[[#This Row],[Cleaned Output]]</f>
        <v>cabal get -d outputDir optparse-applicative-0.17.0.0</v>
      </c>
    </row>
    <row r="233" spans="1:3" x14ac:dyDescent="0.4">
      <c r="A233" t="s">
        <v>126</v>
      </c>
      <c r="B233" t="str" cm="1">
        <f t="array" ref="B23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testProject-0.1.0.0</v>
      </c>
      <c r="C233" t="str">
        <f>"cabal get -d outputDir " &amp; plan[[#This Row],[Cleaned Output]]</f>
        <v>cabal get -d outputDir testProject-0.1.0.0</v>
      </c>
    </row>
    <row r="234" spans="1:3" x14ac:dyDescent="0.4">
      <c r="A234" t="s">
        <v>92</v>
      </c>
      <c r="B234" t="str" cm="1">
        <f t="array" ref="B23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array-0.5.3.0</v>
      </c>
      <c r="C234" t="str">
        <f>"cabal get -d outputDir " &amp; plan[[#This Row],[Cleaned Output]]</f>
        <v>cabal get -d outputDir array-0.5.3.0</v>
      </c>
    </row>
    <row r="235" spans="1:3" x14ac:dyDescent="0.4">
      <c r="A235" t="s">
        <v>68</v>
      </c>
      <c r="B235" t="str" cm="1">
        <f t="array" ref="B23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35" t="str">
        <f>"cabal get -d outputDir " &amp; plan[[#This Row],[Cleaned Output]]</f>
        <v>cabal get -d outputDir base-4.12.0.0</v>
      </c>
    </row>
    <row r="236" spans="1:3" x14ac:dyDescent="0.4">
      <c r="A236" t="s">
        <v>114</v>
      </c>
      <c r="B236" t="str" cm="1">
        <f t="array" ref="B23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binary-0.8.6.0</v>
      </c>
      <c r="C236" t="str">
        <f>"cabal get -d outputDir " &amp; plan[[#This Row],[Cleaned Output]]</f>
        <v>cabal get -d outputDir binary-0.8.6.0</v>
      </c>
    </row>
    <row r="237" spans="1:3" x14ac:dyDescent="0.4">
      <c r="A237" t="s">
        <v>73</v>
      </c>
      <c r="B237" t="str" cm="1">
        <f t="array" ref="B23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237" t="str">
        <f>"cabal get -d outputDir " &amp; plan[[#This Row],[Cleaned Output]]</f>
        <v>cabal get -d outputDir bytestring-0.10.8.2</v>
      </c>
    </row>
    <row r="238" spans="1:3" x14ac:dyDescent="0.4">
      <c r="A238" t="s">
        <v>75</v>
      </c>
      <c r="B238" t="str" cm="1">
        <f t="array" ref="B23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238" t="str">
        <f>"cabal get -d outputDir " &amp; plan[[#This Row],[Cleaned Output]]</f>
        <v>cabal get -d outputDir deepseq-1.4.4.0</v>
      </c>
    </row>
    <row r="239" spans="1:3" x14ac:dyDescent="0.4">
      <c r="A239" t="s">
        <v>77</v>
      </c>
      <c r="B239" t="str" cm="1">
        <f t="array" ref="B23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239" t="str">
        <f>"cabal get -d outputDir " &amp; plan[[#This Row],[Cleaned Output]]</f>
        <v>cabal get -d outputDir ghc-prim-0.5.3</v>
      </c>
    </row>
    <row r="240" spans="1:3" x14ac:dyDescent="0.4">
      <c r="A240" t="s">
        <v>93</v>
      </c>
      <c r="B240" t="str" cm="1">
        <f t="array" ref="B24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integer-gmp-1.0.2.0</v>
      </c>
      <c r="C240" t="str">
        <f>"cabal get -d outputDir " &amp; plan[[#This Row],[Cleaned Output]]</f>
        <v>cabal get -d outputDir integer-gmp-1.0.2.0</v>
      </c>
    </row>
    <row r="241" spans="1:3" x14ac:dyDescent="0.4">
      <c r="A241" t="s">
        <v>68</v>
      </c>
      <c r="B241" t="str" cm="1">
        <f t="array" ref="B24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41" t="str">
        <f>"cabal get -d outputDir " &amp; plan[[#This Row],[Cleaned Output]]</f>
        <v>cabal get -d outputDir base-4.12.0.0</v>
      </c>
    </row>
    <row r="242" spans="1:3" x14ac:dyDescent="0.4">
      <c r="A242" t="s">
        <v>74</v>
      </c>
      <c r="B242" t="str" cm="1">
        <f t="array" ref="B24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242" t="str">
        <f>"cabal get -d outputDir " &amp; plan[[#This Row],[Cleaned Output]]</f>
        <v>cabal get -d outputDir containers-0.6.0.1</v>
      </c>
    </row>
    <row r="243" spans="1:3" x14ac:dyDescent="0.4">
      <c r="A243" t="s">
        <v>77</v>
      </c>
      <c r="B243" t="str" cm="1">
        <f t="array" ref="B24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243" t="str">
        <f>"cabal get -d outputDir " &amp; plan[[#This Row],[Cleaned Output]]</f>
        <v>cabal get -d outputDir ghc-prim-0.5.3</v>
      </c>
    </row>
    <row r="244" spans="1:3" x14ac:dyDescent="0.4">
      <c r="A244" t="s">
        <v>82</v>
      </c>
      <c r="B244" t="str" cm="1">
        <f t="array" ref="B24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template-haskell-2.14.0.0</v>
      </c>
      <c r="C244" t="str">
        <f>"cabal get -d outputDir " &amp; plan[[#This Row],[Cleaned Output]]</f>
        <v>cabal get -d outputDir template-haskell-2.14.0.0</v>
      </c>
    </row>
    <row r="245" spans="1:3" x14ac:dyDescent="0.4">
      <c r="A245" t="s">
        <v>68</v>
      </c>
      <c r="B245" t="str" cm="1">
        <f t="array" ref="B24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45" t="str">
        <f>"cabal get -d outputDir " &amp; plan[[#This Row],[Cleaned Output]]</f>
        <v>cabal get -d outputDir base-4.12.0.0</v>
      </c>
    </row>
    <row r="246" spans="1:3" x14ac:dyDescent="0.4">
      <c r="A246" t="s">
        <v>75</v>
      </c>
      <c r="B246" t="str" cm="1">
        <f t="array" ref="B24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246" t="str">
        <f>"cabal get -d outputDir " &amp; plan[[#This Row],[Cleaned Output]]</f>
        <v>cabal get -d outputDir deepseq-1.4.4.0</v>
      </c>
    </row>
    <row r="247" spans="1:3" x14ac:dyDescent="0.4">
      <c r="A247" t="s">
        <v>68</v>
      </c>
      <c r="B247" t="str" cm="1">
        <f t="array" ref="B24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47" t="str">
        <f>"cabal get -d outputDir " &amp; plan[[#This Row],[Cleaned Output]]</f>
        <v>cabal get -d outputDir base-4.12.0.0</v>
      </c>
    </row>
    <row r="248" spans="1:3" x14ac:dyDescent="0.4">
      <c r="A248" t="s">
        <v>96</v>
      </c>
      <c r="B248" t="str" cm="1">
        <f t="array" ref="B24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base-orphans-0.8.7</v>
      </c>
      <c r="C248" t="str">
        <f>"cabal get -d outputDir " &amp; plan[[#This Row],[Cleaned Output]]</f>
        <v>cabal get -d outputDir base-orphans-0.8.7</v>
      </c>
    </row>
    <row r="249" spans="1:3" x14ac:dyDescent="0.4">
      <c r="A249" t="s">
        <v>75</v>
      </c>
      <c r="B249" t="str" cm="1">
        <f t="array" ref="B24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249" t="str">
        <f>"cabal get -d outputDir " &amp; plan[[#This Row],[Cleaned Output]]</f>
        <v>cabal get -d outputDir deepseq-1.4.4.0</v>
      </c>
    </row>
    <row r="250" spans="1:3" x14ac:dyDescent="0.4">
      <c r="A250" t="s">
        <v>85</v>
      </c>
      <c r="B250" t="str" cm="1">
        <f t="array" ref="B25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time-1.8.0.2</v>
      </c>
      <c r="C250" t="str">
        <f>"cabal get -d outputDir " &amp; plan[[#This Row],[Cleaned Output]]</f>
        <v>cabal get -d outputDir time-1.8.0.2</v>
      </c>
    </row>
    <row r="251" spans="1:3" x14ac:dyDescent="0.4">
      <c r="A251" t="s">
        <v>68</v>
      </c>
      <c r="B251" t="str" cm="1">
        <f t="array" ref="B25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51" t="str">
        <f>"cabal get -d outputDir " &amp; plan[[#This Row],[Cleaned Output]]</f>
        <v>cabal get -d outputDir base-4.12.0.0</v>
      </c>
    </row>
    <row r="252" spans="1:3" x14ac:dyDescent="0.4">
      <c r="A252" t="s">
        <v>68</v>
      </c>
      <c r="B252" t="str" cm="1">
        <f t="array" ref="B25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52" t="str">
        <f>"cabal get -d outputDir " &amp; plan[[#This Row],[Cleaned Output]]</f>
        <v>cabal get -d outputDir base-4.12.0.0</v>
      </c>
    </row>
    <row r="253" spans="1:3" x14ac:dyDescent="0.4">
      <c r="A253" t="s">
        <v>77</v>
      </c>
      <c r="B253" t="str" cm="1">
        <f t="array" ref="B25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253" t="str">
        <f>"cabal get -d outputDir " &amp; plan[[#This Row],[Cleaned Output]]</f>
        <v>cabal get -d outputDir ghc-prim-0.5.3</v>
      </c>
    </row>
    <row r="254" spans="1:3" x14ac:dyDescent="0.4">
      <c r="A254" t="s">
        <v>70</v>
      </c>
      <c r="B254" t="str" cm="1">
        <f t="array" ref="B25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254" t="str">
        <f>"cabal get -d outputDir " &amp; plan[[#This Row],[Cleaned Output]]</f>
        <v>cabal get -d outputDir transformers-0.5.6.2</v>
      </c>
    </row>
    <row r="255" spans="1:3" x14ac:dyDescent="0.4">
      <c r="A255" t="s">
        <v>110</v>
      </c>
      <c r="B255" t="str" cm="1">
        <f t="array" ref="B25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ansi-wl-pprint-0.6.9</v>
      </c>
      <c r="C255" t="str">
        <f>"cabal get -d outputDir " &amp; plan[[#This Row],[Cleaned Output]]</f>
        <v>cabal get -d outputDir ansi-wl-pprint-0.6.9</v>
      </c>
    </row>
    <row r="256" spans="1:3" x14ac:dyDescent="0.4">
      <c r="A256" t="s">
        <v>116</v>
      </c>
      <c r="B256" t="str" cm="1">
        <f t="array" ref="B25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async-2.2.2</v>
      </c>
      <c r="C256" t="str">
        <f>"cabal get -d outputDir " &amp; plan[[#This Row],[Cleaned Output]]</f>
        <v>cabal get -d outputDir async-2.2.2</v>
      </c>
    </row>
    <row r="257" spans="1:3" x14ac:dyDescent="0.4">
      <c r="A257" t="s">
        <v>68</v>
      </c>
      <c r="B257" t="str" cm="1">
        <f t="array" ref="B25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57" t="str">
        <f>"cabal get -d outputDir " &amp; plan[[#This Row],[Cleaned Output]]</f>
        <v>cabal get -d outputDir base-4.12.0.0</v>
      </c>
    </row>
    <row r="258" spans="1:3" x14ac:dyDescent="0.4">
      <c r="A258" t="s">
        <v>73</v>
      </c>
      <c r="B258" t="str" cm="1">
        <f t="array" ref="B25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258" t="str">
        <f>"cabal get -d outputDir " &amp; plan[[#This Row],[Cleaned Output]]</f>
        <v>cabal get -d outputDir bytestring-0.10.8.2</v>
      </c>
    </row>
    <row r="259" spans="1:3" x14ac:dyDescent="0.4">
      <c r="A259" t="s">
        <v>127</v>
      </c>
      <c r="B259" t="str" cm="1">
        <f t="array" ref="B25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clock-0.8.3</v>
      </c>
      <c r="C259" t="str">
        <f>"cabal get -d outputDir " &amp; plan[[#This Row],[Cleaned Output]]</f>
        <v>cabal get -d outputDir clock-0.8.3</v>
      </c>
    </row>
    <row r="260" spans="1:3" x14ac:dyDescent="0.4">
      <c r="A260" t="s">
        <v>74</v>
      </c>
      <c r="B260" t="str" cm="1">
        <f t="array" ref="B26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containers-0.6.0.1</v>
      </c>
      <c r="C260" t="str">
        <f>"cabal get -d outputDir " &amp; plan[[#This Row],[Cleaned Output]]</f>
        <v>cabal get -d outputDir containers-0.6.0.1</v>
      </c>
    </row>
    <row r="261" spans="1:3" x14ac:dyDescent="0.4">
      <c r="A261" t="s">
        <v>112</v>
      </c>
      <c r="B261" t="str" cm="1">
        <f t="array" ref="B26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directory-1.3.3.0</v>
      </c>
      <c r="C261" t="str">
        <f>"cabal get -d outputDir " &amp; plan[[#This Row],[Cleaned Output]]</f>
        <v>cabal get -d outputDir directory-1.3.3.0</v>
      </c>
    </row>
    <row r="262" spans="1:3" x14ac:dyDescent="0.4">
      <c r="A262" t="s">
        <v>122</v>
      </c>
      <c r="B262" t="str" cm="1">
        <f t="array" ref="B26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exceptions-0.10.5</v>
      </c>
      <c r="C262" t="str">
        <f>"cabal get -d outputDir " &amp; plan[[#This Row],[Cleaned Output]]</f>
        <v>cabal get -d outputDir exceptions-0.10.5</v>
      </c>
    </row>
    <row r="263" spans="1:3" x14ac:dyDescent="0.4">
      <c r="A263" t="s">
        <v>102</v>
      </c>
      <c r="B263" t="str" cm="1">
        <f t="array" ref="B26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filepath-1.4.2.1</v>
      </c>
      <c r="C263" t="str">
        <f>"cabal get -d outputDir " &amp; plan[[#This Row],[Cleaned Output]]</f>
        <v>cabal get -d outputDir filepath-1.4.2.1</v>
      </c>
    </row>
    <row r="264" spans="1:3" x14ac:dyDescent="0.4">
      <c r="A264" t="s">
        <v>128</v>
      </c>
      <c r="B264" t="str" cm="1">
        <f t="array" ref="B26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foldl-1.4.11</v>
      </c>
      <c r="C264" t="str">
        <f>"cabal get -d outputDir " &amp; plan[[#This Row],[Cleaned Output]]</f>
        <v>cabal get -d outputDir foldl-1.4.11</v>
      </c>
    </row>
    <row r="265" spans="1:3" x14ac:dyDescent="0.4">
      <c r="A265" t="s">
        <v>129</v>
      </c>
      <c r="B265" t="str" cm="1">
        <f t="array" ref="B26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hostname-1.0</v>
      </c>
      <c r="C265" t="str">
        <f>"cabal get -d outputDir " &amp; plan[[#This Row],[Cleaned Output]]</f>
        <v>cabal get -d outputDir hostname-1.0</v>
      </c>
    </row>
    <row r="266" spans="1:3" x14ac:dyDescent="0.4">
      <c r="A266" t="s">
        <v>130</v>
      </c>
      <c r="B266" t="str" cm="1">
        <f t="array" ref="B26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managed-1.0.9</v>
      </c>
      <c r="C266" t="str">
        <f>"cabal get -d outputDir " &amp; plan[[#This Row],[Cleaned Output]]</f>
        <v>cabal get -d outputDir managed-1.0.9</v>
      </c>
    </row>
    <row r="267" spans="1:3" x14ac:dyDescent="0.4">
      <c r="A267" t="s">
        <v>131</v>
      </c>
      <c r="B267" t="str" cm="1">
        <f t="array" ref="B26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optional-args-1.0.2</v>
      </c>
      <c r="C267" t="str">
        <f>"cabal get -d outputDir " &amp; plan[[#This Row],[Cleaned Output]]</f>
        <v>cabal get -d outputDir optional-args-1.0.2</v>
      </c>
    </row>
    <row r="268" spans="1:3" x14ac:dyDescent="0.4">
      <c r="A268" t="s">
        <v>125</v>
      </c>
      <c r="B268" t="str" cm="1">
        <f t="array" ref="B26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optparse-applicative-0.17.0.0</v>
      </c>
      <c r="C268" t="str">
        <f>"cabal get -d outputDir " &amp; plan[[#This Row],[Cleaned Output]]</f>
        <v>cabal get -d outputDir optparse-applicative-0.17.0.0</v>
      </c>
    </row>
    <row r="269" spans="1:3" x14ac:dyDescent="0.4">
      <c r="A269" t="s">
        <v>111</v>
      </c>
      <c r="B269" t="str" cm="1">
        <f t="array" ref="B26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process-1.6.5.0</v>
      </c>
      <c r="C269" t="str">
        <f>"cabal get -d outputDir " &amp; plan[[#This Row],[Cleaned Output]]</f>
        <v>cabal get -d outputDir process-1.6.5.0</v>
      </c>
    </row>
    <row r="270" spans="1:3" x14ac:dyDescent="0.4">
      <c r="A270" t="s">
        <v>69</v>
      </c>
      <c r="B270" t="str" cm="1">
        <f t="array" ref="B27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stm-2.5.0.0</v>
      </c>
      <c r="C270" t="str">
        <f>"cabal get -d outputDir " &amp; plan[[#This Row],[Cleaned Output]]</f>
        <v>cabal get -d outputDir stm-2.5.0.0</v>
      </c>
    </row>
    <row r="271" spans="1:3" x14ac:dyDescent="0.4">
      <c r="A271" t="s">
        <v>132</v>
      </c>
      <c r="B271" t="str" cm="1">
        <f t="array" ref="B27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streaming-commons-0.2.2.4</v>
      </c>
      <c r="C271" t="str">
        <f>"cabal get -d outputDir " &amp; plan[[#This Row],[Cleaned Output]]</f>
        <v>cabal get -d outputDir streaming-commons-0.2.2.4</v>
      </c>
    </row>
    <row r="272" spans="1:3" x14ac:dyDescent="0.4">
      <c r="A272" t="s">
        <v>133</v>
      </c>
      <c r="B272" t="str" cm="1">
        <f t="array" ref="B27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temporary-1.3</v>
      </c>
      <c r="C272" t="str">
        <f>"cabal get -d outputDir " &amp; plan[[#This Row],[Cleaned Output]]</f>
        <v>cabal get -d outputDir temporary-1.3</v>
      </c>
    </row>
    <row r="273" spans="1:3" x14ac:dyDescent="0.4">
      <c r="A273" t="s">
        <v>83</v>
      </c>
      <c r="B273" t="str" cm="1">
        <f t="array" ref="B27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273" t="str">
        <f>"cabal get -d outputDir " &amp; plan[[#This Row],[Cleaned Output]]</f>
        <v>cabal get -d outputDir text-1.2.3.1</v>
      </c>
    </row>
    <row r="274" spans="1:3" x14ac:dyDescent="0.4">
      <c r="A274" t="s">
        <v>85</v>
      </c>
      <c r="B274" t="str" cm="1">
        <f t="array" ref="B27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time-1.8.0.2</v>
      </c>
      <c r="C274" t="str">
        <f>"cabal get -d outputDir " &amp; plan[[#This Row],[Cleaned Output]]</f>
        <v>cabal get -d outputDir time-1.8.0.2</v>
      </c>
    </row>
    <row r="275" spans="1:3" x14ac:dyDescent="0.4">
      <c r="A275" t="s">
        <v>70</v>
      </c>
      <c r="B275" t="str" cm="1">
        <f t="array" ref="B27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transformers-0.5.6.2</v>
      </c>
      <c r="C275" t="str">
        <f>"cabal get -d outputDir " &amp; plan[[#This Row],[Cleaned Output]]</f>
        <v>cabal get -d outputDir transformers-0.5.6.2</v>
      </c>
    </row>
    <row r="276" spans="1:3" x14ac:dyDescent="0.4">
      <c r="A276" t="s">
        <v>95</v>
      </c>
      <c r="B276" t="str" cm="1">
        <f t="array" ref="B27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276" t="str">
        <f>"cabal get -d outputDir " &amp; plan[[#This Row],[Cleaned Output]]</f>
        <v>cabal get -d outputDir unix-2.7.2.2</v>
      </c>
    </row>
    <row r="277" spans="1:3" x14ac:dyDescent="0.4">
      <c r="A277" t="s">
        <v>134</v>
      </c>
      <c r="B277" t="str" cm="1">
        <f t="array" ref="B27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unix-compat-0.6</v>
      </c>
      <c r="C277" t="str">
        <f>"cabal get -d outputDir " &amp; plan[[#This Row],[Cleaned Output]]</f>
        <v>cabal get -d outputDir unix-compat-0.6</v>
      </c>
    </row>
    <row r="278" spans="1:3" x14ac:dyDescent="0.4">
      <c r="A278" t="s">
        <v>68</v>
      </c>
      <c r="B278" t="str" cm="1">
        <f t="array" ref="B27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78" t="str">
        <f>"cabal get -d outputDir " &amp; plan[[#This Row],[Cleaned Output]]</f>
        <v>cabal get -d outputDir base-4.12.0.0</v>
      </c>
    </row>
    <row r="279" spans="1:3" x14ac:dyDescent="0.4">
      <c r="A279" t="s">
        <v>73</v>
      </c>
      <c r="B279" t="str" cm="1">
        <f t="array" ref="B27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279" t="str">
        <f>"cabal get -d outputDir " &amp; plan[[#This Row],[Cleaned Output]]</f>
        <v>cabal get -d outputDir bytestring-0.10.8.2</v>
      </c>
    </row>
    <row r="280" spans="1:3" x14ac:dyDescent="0.4">
      <c r="A280" t="s">
        <v>85</v>
      </c>
      <c r="B280" t="str" cm="1">
        <f t="array" ref="B28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time-1.8.0.2</v>
      </c>
      <c r="C280" t="str">
        <f>"cabal get -d outputDir " &amp; plan[[#This Row],[Cleaned Output]]</f>
        <v>cabal get -d outputDir time-1.8.0.2</v>
      </c>
    </row>
    <row r="281" spans="1:3" x14ac:dyDescent="0.4">
      <c r="A281" t="s">
        <v>68</v>
      </c>
      <c r="B281" t="str" cm="1">
        <f t="array" ref="B28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81" t="str">
        <f>"cabal get -d outputDir " &amp; plan[[#This Row],[Cleaned Output]]</f>
        <v>cabal get -d outputDir base-4.12.0.0</v>
      </c>
    </row>
    <row r="282" spans="1:3" x14ac:dyDescent="0.4">
      <c r="A282" t="s">
        <v>95</v>
      </c>
      <c r="B282" t="str" cm="1">
        <f t="array" ref="B28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unix-2.7.2.2</v>
      </c>
      <c r="C282" t="str">
        <f>"cabal get -d outputDir " &amp; plan[[#This Row],[Cleaned Output]]</f>
        <v>cabal get -d outputDir unix-2.7.2.2</v>
      </c>
    </row>
    <row r="283" spans="1:3" x14ac:dyDescent="0.4">
      <c r="A283" t="s">
        <v>68</v>
      </c>
      <c r="B283" t="str" cm="1">
        <f t="array" ref="B28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83" t="str">
        <f>"cabal get -d outputDir " &amp; plan[[#This Row],[Cleaned Output]]</f>
        <v>cabal get -d outputDir base-4.12.0.0</v>
      </c>
    </row>
    <row r="284" spans="1:3" x14ac:dyDescent="0.4">
      <c r="A284" t="s">
        <v>75</v>
      </c>
      <c r="B284" t="str" cm="1">
        <f t="array" ref="B28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284" t="str">
        <f>"cabal get -d outputDir " &amp; plan[[#This Row],[Cleaned Output]]</f>
        <v>cabal get -d outputDir deepseq-1.4.4.0</v>
      </c>
    </row>
    <row r="285" spans="1:3" x14ac:dyDescent="0.4">
      <c r="A285" t="s">
        <v>78</v>
      </c>
      <c r="B285" t="str" cm="1">
        <f t="array" ref="B28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hashable-1.2.7.0</v>
      </c>
      <c r="C285" t="str">
        <f>"cabal get -d outputDir " &amp; plan[[#This Row],[Cleaned Output]]</f>
        <v>cabal get -d outputDir hashable-1.2.7.0</v>
      </c>
    </row>
    <row r="286" spans="1:3" x14ac:dyDescent="0.4">
      <c r="A286" t="s">
        <v>68</v>
      </c>
      <c r="B286" t="str" cm="1">
        <f t="array" ref="B28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86" t="str">
        <f>"cabal get -d outputDir " &amp; plan[[#This Row],[Cleaned Output]]</f>
        <v>cabal get -d outputDir base-4.12.0.0</v>
      </c>
    </row>
    <row r="287" spans="1:3" x14ac:dyDescent="0.4">
      <c r="A287" t="s">
        <v>114</v>
      </c>
      <c r="B287" t="str" cm="1">
        <f t="array" ref="B28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binary-0.8.6.0</v>
      </c>
      <c r="C287" t="str">
        <f>"cabal get -d outputDir " &amp; plan[[#This Row],[Cleaned Output]]</f>
        <v>cabal get -d outputDir binary-0.8.6.0</v>
      </c>
    </row>
    <row r="288" spans="1:3" x14ac:dyDescent="0.4">
      <c r="A288" t="s">
        <v>73</v>
      </c>
      <c r="B288" t="str" cm="1">
        <f t="array" ref="B28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288" t="str">
        <f>"cabal get -d outputDir " &amp; plan[[#This Row],[Cleaned Output]]</f>
        <v>cabal get -d outputDir bytestring-0.10.8.2</v>
      </c>
    </row>
    <row r="289" spans="1:3" x14ac:dyDescent="0.4">
      <c r="A289" t="s">
        <v>75</v>
      </c>
      <c r="B289" t="str" cm="1">
        <f t="array" ref="B28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289" t="str">
        <f>"cabal get -d outputDir " &amp; plan[[#This Row],[Cleaned Output]]</f>
        <v>cabal get -d outputDir deepseq-1.4.4.0</v>
      </c>
    </row>
    <row r="290" spans="1:3" x14ac:dyDescent="0.4">
      <c r="A290" t="s">
        <v>78</v>
      </c>
      <c r="B290" t="str" cm="1">
        <f t="array" ref="B290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hashable-1.2.7.0</v>
      </c>
      <c r="C290" t="str">
        <f>"cabal get -d outputDir " &amp; plan[[#This Row],[Cleaned Output]]</f>
        <v>cabal get -d outputDir hashable-1.2.7.0</v>
      </c>
    </row>
    <row r="291" spans="1:3" x14ac:dyDescent="0.4">
      <c r="A291" t="s">
        <v>118</v>
      </c>
      <c r="B291" t="str" cm="1">
        <f t="array" ref="B291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random-1.1</v>
      </c>
      <c r="C291" t="str">
        <f>"cabal get -d outputDir " &amp; plan[[#This Row],[Cleaned Output]]</f>
        <v>cabal get -d outputDir random-1.1</v>
      </c>
    </row>
    <row r="292" spans="1:3" x14ac:dyDescent="0.4">
      <c r="A292" t="s">
        <v>82</v>
      </c>
      <c r="B292" t="str" cm="1">
        <f t="array" ref="B292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template-haskell-2.14.0.0</v>
      </c>
      <c r="C292" t="str">
        <f>"cabal get -d outputDir " &amp; plan[[#This Row],[Cleaned Output]]</f>
        <v>cabal get -d outputDir template-haskell-2.14.0.0</v>
      </c>
    </row>
    <row r="293" spans="1:3" x14ac:dyDescent="0.4">
      <c r="A293" t="s">
        <v>83</v>
      </c>
      <c r="B293" t="str" cm="1">
        <f t="array" ref="B293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text-1.2.3.1</v>
      </c>
      <c r="C293" t="str">
        <f>"cabal get -d outputDir " &amp; plan[[#This Row],[Cleaned Output]]</f>
        <v>cabal get -d outputDir text-1.2.3.1</v>
      </c>
    </row>
    <row r="294" spans="1:3" x14ac:dyDescent="0.4">
      <c r="A294" t="s">
        <v>68</v>
      </c>
      <c r="B294" t="str" cm="1">
        <f t="array" ref="B294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94" t="str">
        <f>"cabal get -d outputDir " &amp; plan[[#This Row],[Cleaned Output]]</f>
        <v>cabal get -d outputDir base-4.12.0.0</v>
      </c>
    </row>
    <row r="295" spans="1:3" x14ac:dyDescent="0.4">
      <c r="A295" t="s">
        <v>75</v>
      </c>
      <c r="B295" t="str" cm="1">
        <f t="array" ref="B295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deepseq-1.4.4.0</v>
      </c>
      <c r="C295" t="str">
        <f>"cabal get -d outputDir " &amp; plan[[#This Row],[Cleaned Output]]</f>
        <v>cabal get -d outputDir deepseq-1.4.4.0</v>
      </c>
    </row>
    <row r="296" spans="1:3" x14ac:dyDescent="0.4">
      <c r="A296" t="s">
        <v>77</v>
      </c>
      <c r="B296" t="str" cm="1">
        <f t="array" ref="B296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ghc-prim-0.5.3</v>
      </c>
      <c r="C296" t="str">
        <f>"cabal get -d outputDir " &amp; plan[[#This Row],[Cleaned Output]]</f>
        <v>cabal get -d outputDir ghc-prim-0.5.3</v>
      </c>
    </row>
    <row r="297" spans="1:3" x14ac:dyDescent="0.4">
      <c r="A297" t="s">
        <v>79</v>
      </c>
      <c r="B297" t="str" cm="1">
        <f t="array" ref="B297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primitive-0.6.4.0</v>
      </c>
      <c r="C297" t="str">
        <f>"cabal get -d outputDir " &amp; plan[[#This Row],[Cleaned Output]]</f>
        <v>cabal get -d outputDir primitive-0.6.4.0</v>
      </c>
    </row>
    <row r="298" spans="1:3" x14ac:dyDescent="0.4">
      <c r="A298" t="s">
        <v>68</v>
      </c>
      <c r="B298" t="str" cm="1">
        <f t="array" ref="B298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base-4.12.0.0</v>
      </c>
      <c r="C298" t="str">
        <f>"cabal get -d outputDir " &amp; plan[[#This Row],[Cleaned Output]]</f>
        <v>cabal get -d outputDir base-4.12.0.0</v>
      </c>
    </row>
    <row r="299" spans="1:3" x14ac:dyDescent="0.4">
      <c r="A299" t="s">
        <v>73</v>
      </c>
      <c r="B299" t="str" cm="1">
        <f t="array" ref="B299">_xlfn.LET(
  _xlpm.txtHead,_xlfn.LAMBDA(_xlpm.txt,MID(_xlpm.txt,2,LEN(_xlpm.txt)-1)),
  _xlpm.init,_xlfn.LAMBDA(_xlpm.list,_xlfn.TAKE(_xlpm.list,1,COUNTA(_xlpm.list)-1)),
  _xlpm.intercalate,_xlfn.LAMBDA(_xlpm.i,_xlpm.x,_xlpm.txtHead(_xlfn.REDUCE("",_xlpm.x,_xlfn.LAMBDA(_xlpm.a,_xlpm.b,_xlpm.a&amp;_xlpm.i&amp;_xlpm.b)))),
  _xlpm.splitted,_xlfn.TEXTSPLIT(plan[[#This Row],[Dependencies]],"."),
  _xlpm.start,_xlpm.init(_xlpm.splitted),
  _xlpm.last,_xlfn.DROP(_xlpm.splitted,0,COUNTA(_xlpm.splitted)-1),
  _xlpm.lastCleaned,_xlfn.TAKE(_xlfn.TEXTSPLIT(_xlpm.last,"-"),1,1),
  _xlpm.val,_xlpm.intercalate(".",_xlpm.start)&amp;"."&amp;_xlpm.lastCleaned,
  IF(ISERROR(_xlpm.val),plan[[#This Row],[Dependencies]],_xlpm.val)
)</f>
        <v>bytestring-0.10.8.2</v>
      </c>
      <c r="C299" t="str">
        <f>"cabal get -d outputDir " &amp; plan[[#This Row],[Cleaned Output]]</f>
        <v>cabal get -d outputDir bytestring-0.10.8.2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6C76AF-9262-47E6-9C45-858BE09C59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templating</vt:lpstr>
      <vt:lpstr>calculator</vt:lpstr>
      <vt:lpstr>file separation</vt:lpstr>
      <vt:lpstr>reverse dict lookup</vt:lpstr>
      <vt:lpstr>concat</vt:lpstr>
      <vt:lpstr>fixpoint</vt:lpstr>
      <vt:lpstr>dependencies</vt:lpstr>
      <vt:lpstr>SongTable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Schneider</dc:creator>
  <cp:lastModifiedBy>Fabian Schneider</cp:lastModifiedBy>
  <dcterms:created xsi:type="dcterms:W3CDTF">2022-09-10T10:47:48Z</dcterms:created>
  <dcterms:modified xsi:type="dcterms:W3CDTF">2022-10-19T13:55:38Z</dcterms:modified>
</cp:coreProperties>
</file>